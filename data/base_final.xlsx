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IJ" sheetId="1" r:id="rId5"/>
    <sheet state="visible" name="CAPS II" sheetId="2" r:id="rId6"/>
    <sheet state="visible" name="CAPS AD III" sheetId="3" r:id="rId7"/>
    <sheet state="visible" name="UAA" sheetId="4" r:id="rId8"/>
    <sheet state="visible" name="UAI" sheetId="5" r:id="rId9"/>
  </sheets>
  <definedNames/>
  <calcPr/>
</workbook>
</file>

<file path=xl/sharedStrings.xml><?xml version="1.0" encoding="utf-8"?>
<sst xmlns="http://schemas.openxmlformats.org/spreadsheetml/2006/main" count="210" uniqueCount="68">
  <si>
    <t>CAPS II</t>
  </si>
  <si>
    <t>UNID. ACOLHIMENTO ADULTO</t>
  </si>
  <si>
    <t>CAPS INFANTO-JUVENIL</t>
  </si>
  <si>
    <t>CAPS AD III</t>
  </si>
  <si>
    <t>ANO 2026</t>
  </si>
  <si>
    <t>PROCEDIMENTO</t>
  </si>
  <si>
    <t>JANEIRO</t>
  </si>
  <si>
    <t>FEVEREIRO</t>
  </si>
  <si>
    <t>MARÇO</t>
  </si>
  <si>
    <t>ABRIL</t>
  </si>
  <si>
    <t>JANEIRO/TAB</t>
  </si>
  <si>
    <t>MAIO</t>
  </si>
  <si>
    <t>JUNHO</t>
  </si>
  <si>
    <t>FEVEREIRO/TAB</t>
  </si>
  <si>
    <t>JULHO</t>
  </si>
  <si>
    <t>MARÇO/TAB</t>
  </si>
  <si>
    <t>AGOSTO</t>
  </si>
  <si>
    <t>SETEMBRO</t>
  </si>
  <si>
    <t>OUTUBRO</t>
  </si>
  <si>
    <t>ABRIL/TAB</t>
  </si>
  <si>
    <t>PROCEDIMENTO/ Mês</t>
  </si>
  <si>
    <t>NOVEMBRO</t>
  </si>
  <si>
    <t>DEZEMBRO</t>
  </si>
  <si>
    <t>MAIO/TAB</t>
  </si>
  <si>
    <t>TOTAL</t>
  </si>
  <si>
    <t>JUNHO/TAB</t>
  </si>
  <si>
    <t>208 - ATENDIMENTO INDIVIDUAL DE PACIENTE EM CENTRO DE ATENÇÃO PSICOSSOCIAL</t>
  </si>
  <si>
    <t>JULHO/TAB</t>
  </si>
  <si>
    <t>194 - ACOLHIMENTO DIURNO</t>
  </si>
  <si>
    <t>232 - ACOLHIMENTO INICIAL POR CENTRO DE ATENÇÃO PSICOSSOCIAL</t>
  </si>
  <si>
    <t>216 - ATENDIMENTO EM GRUPO DE PACIENTE EM CENTRO DE ATENÇÃO PSICOSSOCIAL</t>
  </si>
  <si>
    <t>038 - ACOLHIMENTO EM TERCEIRO TURNO</t>
  </si>
  <si>
    <t>240 - ATENDIMENTO DOMICILIAR PARA PACIENTES DE CENTRO DE ATENÇÃO PSICOSSOCIAL E/OU FAMILIARES</t>
  </si>
  <si>
    <t>275 - PRÁTICAS CORPORAIS EM CENTRO DE ATENÇÃO PSICOSSOCIAL</t>
  </si>
  <si>
    <t>194 - ACOLHIMENTO DIURNO DE PACIENTE EM CENTRO DE ATENÇÃO PSICOSSOCIAL</t>
  </si>
  <si>
    <t>283 - PRÁTICAS EXPRESSIVAS E COMUNICATIVAS EM CENTRO DE ATENÇÃO PSICOSSOCIAL</t>
  </si>
  <si>
    <t>224 - ATENDIMENTO FAMILIAR EM CENTRO DE ATENÇÃO PSICOSSOCIAL</t>
  </si>
  <si>
    <t>020 - ACOLHIMENTO NOTURNO</t>
  </si>
  <si>
    <t>291- ATENÇÃO ÀS SITUAÇÕES DE CRISE</t>
  </si>
  <si>
    <t>356 - PROMOÇÃO DE CONTRATUALIDADE NO TERRITÓRIO</t>
  </si>
  <si>
    <t>348 - AÇÕES DE REABILITAÇÃO PSICOSSOCIAL</t>
  </si>
  <si>
    <t>259 - AÇÕES DE ARTICULAÇÃO DE REDES INTRA E INTERSETORIAIS</t>
  </si>
  <si>
    <t>267 - FORTALECIMENTO DO PROTAGONISMO DE USUÁRIOS DE CENTRO DE ATENÇÃO PSICOSSOCIAL E SEUS FAMILIARES</t>
  </si>
  <si>
    <t>216 - ATENDIMENTO EM GRUPO DE PACIENTE EM CENTRO DE ATENÇÃO
 PSICOSSOCIAL</t>
  </si>
  <si>
    <t>313 - AÇÕES DE REDUÇÃO DE DANOS</t>
  </si>
  <si>
    <t>399 - MATRICIAMENTO DE EQUIPES E PONTOS DE ATENÇÃO DA URGÊNCIA E EMERGÊNCIA, E DOS SERVIÇOS HOSPITALARES</t>
  </si>
  <si>
    <t>232 - ACOLHIMENTO INICIAL</t>
  </si>
  <si>
    <t>305 - MATRICIAMENTO DE EQUIPES DA ATENÇÃO BÁSICA</t>
  </si>
  <si>
    <t xml:space="preserve">372 - ACOMPANHAMENTO DE PESSOAS COM SOFRIMENTO OU TRANSTORNO MENTAL E COM NECESSIDADES DE SAÚDE DECORRENTES DO USO DE ÁLCOOL, CRACK E OUTRAS DROGAS (UAA)
 </t>
  </si>
  <si>
    <t>330 - APOIO A SERVIÇO RESIDENCIAL DE CARÁTER TRANSITÓRIO POR CENTRO DE ATENÇÃO PSICOSSOCIAL</t>
  </si>
  <si>
    <t>Total procedimentos registrados</t>
  </si>
  <si>
    <t>372 - ACOMPANHAMENTO DE PESSOAS COM SOFRIMENTO OU TRANSTORNO MENTAL E COM NECESSIDADES DE SAÚDE DECORRENTES DO USO DE ÁLCOOL, CRACK E OUTRAS DROGAS (UAA)</t>
  </si>
  <si>
    <t xml:space="preserve">USUÁRIOS SINALIZADOS COM TENTATIVA DE SUICÍDIO </t>
  </si>
  <si>
    <t>ENCAMINHAMENTOS PARA INTERNAÇÃO HOSPITALAR</t>
  </si>
  <si>
    <t>TOTAL DE USUÁRIOS ATIVOS</t>
  </si>
  <si>
    <t>ÓBITO DE USUÁRIOS DO SERVIÇO</t>
  </si>
  <si>
    <t>USUÁRIOS SINALIZADOS COM TENTATIVAS DE SUICÍDIO</t>
  </si>
  <si>
    <t>USUÁRIOS ADMITIDOS</t>
  </si>
  <si>
    <t>USUÁRIOS DE ALTA</t>
  </si>
  <si>
    <t>USUÁRIOS EM ACOLHIMENTO NOTURNO</t>
  </si>
  <si>
    <t>PRODUÇÃO DE PROJETOS TERAPEUTICOS SINGULARES (PTS)</t>
  </si>
  <si>
    <t>380 - ACOMPANHAMENTO DA POPULAÇÃO INFANTOJUVENIL COM SOFRIMENTO OU TRANSTORNO MENTAL E COM NECESSIDADES DE SAÚDE DECORRENTES DO USO DE ÁLCOOL, CRACK E OUTRAS (UAIJ)</t>
  </si>
  <si>
    <t>ATENDIMENTOS DE DISPENSAÇÃO DE MEDICAMENTOS</t>
  </si>
  <si>
    <t>USUÁRIOS SINALIZADOS COM TENTIVAS DE SUICÍDIO</t>
  </si>
  <si>
    <t>ENCAMINHAMENTO PARA INTERNAÇÃO HOSPITALAR</t>
  </si>
  <si>
    <t xml:space="preserve">USUÁRIOS ADMITIDOS </t>
  </si>
  <si>
    <t>UNID. ACOLHIMENTO INFANTOJUVENIL</t>
  </si>
  <si>
    <t xml:space="preserve">372 - ACOMPANHAMENTO DE PESSOAS COM SOFRIMENTO OU TRANSTORNO MENTAL E COM NECESSIDADES DE SAÚDE DECORRENTES DO USO DE ÁLCOOL, CRACK E OUTRAS DROGAS (UAI)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</si>
</sst>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45.0"/>
      <color rgb="FF0033CC"/>
      <name val="Calibri"/>
    </font>
    <font>
      <b/>
      <sz val="37.0"/>
      <color rgb="FF0033CC"/>
      <name val="Calibri"/>
    </font>
    <font/>
    <font>
      <sz val="11.0"/>
      <color theme="1"/>
      <name val="Calibri"/>
    </font>
    <font>
      <b/>
      <sz val="15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34">
    <border/>
    <border>
      <left style="thick">
        <color rgb="FF000000"/>
      </left>
      <top style="thick">
        <color rgb="FF000000"/>
      </top>
    </border>
    <border>
      <left style="thin">
        <color rgb="FF000000"/>
      </left>
      <top/>
    </border>
    <border>
      <top style="thick">
        <color rgb="FF000000"/>
      </top>
    </border>
    <border>
      <top/>
    </border>
    <border>
      <right style="thick">
        <color rgb="FF000000"/>
      </right>
      <top style="thick">
        <color rgb="FF000000"/>
      </top>
    </border>
    <border>
      <left/>
      <right/>
      <top/>
      <bottom/>
    </border>
    <border>
      <right style="thin">
        <color rgb="FF000000"/>
      </right>
      <top/>
    </border>
    <border>
      <left style="thick">
        <color rgb="FF000000"/>
      </left>
    </border>
    <border>
      <left style="thin">
        <color rgb="FF000000"/>
      </left>
    </border>
    <border>
      <right style="thick">
        <color rgb="FF000000"/>
      </right>
    </border>
    <border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/>
    </border>
    <border>
      <bottom style="thick">
        <color rgb="FF000000"/>
      </bottom>
    </border>
    <border>
      <bottom/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/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ill="1" applyFont="1">
      <alignment horizontal="center" vertical="center"/>
    </xf>
    <xf borderId="7" fillId="0" fontId="3" numFmtId="0" xfId="0" applyBorder="1" applyFont="1"/>
    <xf borderId="0" fillId="0" fontId="4" numFmtId="0" xfId="0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3" fontId="5" numFmtId="0" xfId="0" applyAlignment="1" applyBorder="1" applyFill="1" applyFont="1">
      <alignment horizontal="center"/>
    </xf>
    <xf borderId="19" fillId="0" fontId="3" numFmtId="0" xfId="0" applyBorder="1" applyFont="1"/>
    <xf borderId="20" fillId="3" fontId="5" numFmtId="0" xfId="0" applyAlignment="1" applyBorder="1" applyFill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6" fillId="2" fontId="5" numFmtId="0" xfId="0" applyAlignment="1" applyBorder="1" applyFill="1" applyFont="1">
      <alignment horizontal="center"/>
    </xf>
    <xf borderId="23" fillId="0" fontId="3" numFmtId="0" xfId="0" applyBorder="1" applyFont="1"/>
    <xf borderId="24" fillId="4" fontId="6" numFmtId="0" xfId="0" applyAlignment="1" applyBorder="1" applyFill="1" applyFont="1">
      <alignment horizontal="center"/>
    </xf>
    <xf borderId="24" fillId="4" fontId="6" numFmtId="0" xfId="0" applyAlignment="1" applyBorder="1" applyFill="1" applyFont="1">
      <alignment horizontal="center" vertical="center"/>
    </xf>
    <xf borderId="24" fillId="5" fontId="7" numFmtId="0" xfId="0" applyAlignment="1" applyBorder="1" applyFill="1" applyFont="1">
      <alignment horizontal="left" shrinkToFit="0" wrapText="1"/>
    </xf>
    <xf borderId="24" fillId="0" fontId="8" numFmtId="0" xfId="0" applyAlignment="1" applyBorder="1" applyFont="1">
      <alignment horizontal="center" shrinkToFit="0" vertical="center" wrapText="1"/>
    </xf>
    <xf borderId="25" fillId="4" fontId="6" numFmtId="0" xfId="0" applyAlignment="1" applyBorder="1" applyFill="1" applyFont="1">
      <alignment horizontal="center"/>
    </xf>
    <xf borderId="24" fillId="5" fontId="8" numFmtId="0" xfId="0" applyAlignment="1" applyBorder="1" applyFill="1" applyFont="1">
      <alignment horizontal="center" shrinkToFit="0" wrapText="1"/>
    </xf>
    <xf borderId="26" fillId="4" fontId="6" numFmtId="0" xfId="0" applyAlignment="1" applyBorder="1" applyFill="1" applyFont="1">
      <alignment horizontal="center"/>
    </xf>
    <xf borderId="24" fillId="5" fontId="8" numFmtId="0" xfId="0" applyAlignment="1" applyBorder="1" applyFill="1" applyFont="1">
      <alignment horizontal="center"/>
    </xf>
    <xf borderId="24" fillId="0" fontId="4" numFmtId="0" xfId="0" applyAlignment="1" applyBorder="1" applyFont="1">
      <alignment horizontal="center"/>
    </xf>
    <xf borderId="24" fillId="0" fontId="7" numFmtId="0" xfId="0" applyAlignment="1" applyBorder="1" applyFont="1">
      <alignment horizontal="left" shrinkToFit="0" vertical="center" wrapText="1"/>
    </xf>
    <xf borderId="24" fillId="0" fontId="8" numFmtId="0" xfId="0" applyAlignment="1" applyBorder="1" applyFont="1">
      <alignment horizontal="center"/>
    </xf>
    <xf borderId="24" fillId="5" fontId="7" numFmtId="0" xfId="0" applyAlignment="1" applyBorder="1" applyFill="1" applyFont="1">
      <alignment horizontal="center"/>
    </xf>
    <xf borderId="24" fillId="5" fontId="9" numFmtId="0" xfId="0" applyAlignment="1" applyBorder="1" applyFill="1" applyFont="1">
      <alignment horizontal="center" vertical="center"/>
    </xf>
    <xf borderId="24" fillId="5" fontId="8" numFmtId="0" xfId="0" applyAlignment="1" applyBorder="1" applyFill="1" applyFont="1">
      <alignment horizontal="center" vertical="center"/>
    </xf>
    <xf borderId="24" fillId="0" fontId="8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left" shrinkToFit="0" wrapText="1"/>
    </xf>
    <xf borderId="24" fillId="5" fontId="8" numFmtId="3" xfId="0" applyAlignment="1" applyBorder="1" applyFill="1" applyFont="1" applyNumberFormat="1">
      <alignment horizontal="center" vertical="center"/>
    </xf>
    <xf borderId="24" fillId="0" fontId="7" numFmtId="0" xfId="0" applyAlignment="1" applyBorder="1" applyFont="1">
      <alignment horizontal="center" vertical="center"/>
    </xf>
    <xf borderId="24" fillId="6" fontId="7" numFmtId="0" xfId="0" applyAlignment="1" applyBorder="1" applyFill="1" applyFont="1">
      <alignment horizontal="left" shrinkToFit="0" wrapText="1"/>
    </xf>
    <xf borderId="24" fillId="6" fontId="8" numFmtId="0" xfId="0" applyAlignment="1" applyBorder="1" applyFill="1" applyFont="1">
      <alignment horizontal="center"/>
    </xf>
    <xf borderId="24" fillId="0" fontId="7" numFmtId="0" xfId="0" applyAlignment="1" applyBorder="1" applyFont="1">
      <alignment horizontal="center"/>
    </xf>
    <xf borderId="24" fillId="6" fontId="7" numFmtId="0" xfId="0" applyAlignment="1" applyBorder="1" applyFill="1" applyFont="1">
      <alignment horizontal="center"/>
    </xf>
    <xf borderId="24" fillId="5" fontId="8" numFmtId="3" xfId="0" applyAlignment="1" applyBorder="1" applyFill="1" applyFont="1" applyNumberFormat="1">
      <alignment horizontal="center"/>
    </xf>
    <xf borderId="24" fillId="0" fontId="8" numFmtId="3" xfId="0" applyAlignment="1" applyBorder="1" applyFont="1" applyNumberFormat="1">
      <alignment horizontal="center" vertical="center"/>
    </xf>
    <xf borderId="24" fillId="5" fontId="7" numFmtId="3" xfId="0" applyAlignment="1" applyBorder="1" applyFill="1" applyFont="1" applyNumberFormat="1">
      <alignment horizontal="center"/>
    </xf>
    <xf borderId="24" fillId="4" fontId="6" numFmtId="3" xfId="0" applyAlignment="1" applyBorder="1" applyFill="1" applyFont="1" applyNumberFormat="1">
      <alignment horizontal="center"/>
    </xf>
    <xf borderId="24" fillId="6" fontId="8" numFmtId="0" xfId="0" applyAlignment="1" applyBorder="1" applyFill="1" applyFont="1">
      <alignment horizontal="center" vertical="center"/>
    </xf>
    <xf borderId="24" fillId="0" fontId="8" numFmtId="3" xfId="0" applyAlignment="1" applyBorder="1" applyFont="1" applyNumberFormat="1">
      <alignment horizontal="center"/>
    </xf>
    <xf borderId="24" fillId="0" fontId="8" numFmtId="0" xfId="0" applyAlignment="1" applyBorder="1" applyFont="1">
      <alignment horizontal="left" shrinkToFit="0" wrapText="1"/>
    </xf>
    <xf borderId="24" fillId="0" fontId="10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4" fillId="6" fontId="7" numFmtId="0" xfId="0" applyAlignment="1" applyBorder="1" applyFill="1" applyFont="1">
      <alignment horizontal="left" shrinkToFit="0" vertical="center" wrapText="1"/>
    </xf>
    <xf borderId="24" fillId="6" fontId="7" numFmtId="0" xfId="0" applyAlignment="1" applyBorder="1" applyFill="1" applyFont="1">
      <alignment horizontal="center" vertical="center"/>
    </xf>
    <xf borderId="24" fillId="5" fontId="7" numFmtId="0" xfId="0" applyAlignment="1" applyBorder="1" applyFill="1" applyFont="1">
      <alignment horizontal="left" shrinkToFit="0" vertical="center" wrapText="1"/>
    </xf>
    <xf borderId="24" fillId="7" fontId="7" numFmtId="0" xfId="0" applyAlignment="1" applyBorder="1" applyFill="1" applyFont="1">
      <alignment horizontal="left" shrinkToFit="0" wrapText="1"/>
    </xf>
    <xf borderId="24" fillId="7" fontId="8" numFmtId="0" xfId="0" applyAlignment="1" applyBorder="1" applyFill="1" applyFont="1">
      <alignment horizontal="center"/>
    </xf>
    <xf borderId="24" fillId="5" fontId="7" numFmtId="3" xfId="0" applyAlignment="1" applyBorder="1" applyFill="1" applyFont="1" applyNumberFormat="1">
      <alignment horizontal="center" vertical="center"/>
    </xf>
    <xf borderId="24" fillId="4" fontId="6" numFmtId="3" xfId="0" applyAlignment="1" applyBorder="1" applyFill="1" applyFont="1" applyNumberFormat="1">
      <alignment horizontal="center" vertical="center"/>
    </xf>
    <xf borderId="24" fillId="7" fontId="7" numFmtId="0" xfId="0" applyAlignment="1" applyBorder="1" applyFill="1" applyFont="1">
      <alignment horizontal="center"/>
    </xf>
    <xf borderId="24" fillId="0" fontId="7" numFmtId="3" xfId="0" applyAlignment="1" applyBorder="1" applyFont="1" applyNumberFormat="1">
      <alignment horizontal="center" vertical="center"/>
    </xf>
    <xf borderId="24" fillId="6" fontId="7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7" fillId="3" fontId="5" numFmtId="0" xfId="0" applyAlignment="1" applyBorder="1" applyFill="1" applyFont="1">
      <alignment horizontal="center"/>
    </xf>
    <xf borderId="28" fillId="0" fontId="3" numFmtId="0" xfId="0" applyBorder="1" applyFont="1"/>
    <xf borderId="29" fillId="0" fontId="3" numFmtId="0" xfId="0" applyBorder="1" applyFont="1"/>
    <xf borderId="30" fillId="4" fontId="6" numFmtId="0" xfId="0" applyAlignment="1" applyBorder="1" applyFill="1" applyFont="1">
      <alignment horizontal="center" vertical="center"/>
    </xf>
    <xf borderId="31" fillId="4" fontId="6" numFmtId="0" xfId="0" applyAlignment="1" applyBorder="1" applyFill="1" applyFont="1">
      <alignment horizontal="center" vertical="center"/>
    </xf>
    <xf borderId="32" fillId="0" fontId="7" numFmtId="0" xfId="0" applyAlignment="1" applyBorder="1" applyFont="1">
      <alignment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vertical="center"/>
    </xf>
    <xf borderId="24" fillId="5" fontId="7" numFmtId="0" xfId="0" applyAlignment="1" applyBorder="1" applyFill="1" applyFont="1">
      <alignment vertical="center"/>
    </xf>
    <xf borderId="30" fillId="6" fontId="7" numFmtId="0" xfId="0" applyAlignment="1" applyBorder="1" applyFill="1" applyFont="1">
      <alignment shrinkToFit="0" vertical="center" wrapText="1"/>
    </xf>
    <xf borderId="24" fillId="6" fontId="8" numFmtId="0" xfId="0" applyAlignment="1" applyBorder="1" applyFill="1" applyFont="1">
      <alignment horizontal="center" shrinkToFit="0" vertical="center" wrapText="1"/>
    </xf>
    <xf borderId="31" fillId="6" fontId="8" numFmtId="0" xfId="0" applyAlignment="1" applyBorder="1" applyFill="1" applyFont="1">
      <alignment horizontal="center" shrinkToFit="0" vertical="center" wrapText="1"/>
    </xf>
    <xf borderId="31" fillId="6" fontId="8" numFmtId="0" xfId="0" applyAlignment="1" applyBorder="1" applyFill="1" applyFont="1">
      <alignment horizontal="center" vertical="center"/>
    </xf>
    <xf borderId="24" fillId="6" fontId="7" numFmtId="0" xfId="0" applyAlignment="1" applyBorder="1" applyFill="1" applyFont="1">
      <alignment vertical="center"/>
    </xf>
    <xf borderId="24" fillId="6" fontId="7" numFmtId="0" xfId="0" applyAlignment="1" applyBorder="1" applyFill="1" applyFont="1">
      <alignment shrinkToFit="0" vertical="center" wrapText="1"/>
    </xf>
    <xf borderId="30" fillId="6" fontId="8" numFmtId="0" xfId="0" applyAlignment="1" applyBorder="1" applyFill="1" applyFont="1">
      <alignment horizontal="center" vertical="center"/>
    </xf>
    <xf borderId="24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" width="11.43"/>
    <col customWidth="1" min="3" max="3" width="17.14"/>
    <col customWidth="1" min="4" max="4" width="14.29"/>
    <col customWidth="1" min="5" max="5" width="19.86"/>
    <col customWidth="1" min="6" max="6" width="9.71"/>
    <col customWidth="1" min="7" max="7" width="15.29"/>
    <col customWidth="1" min="8" max="8" width="8.43"/>
    <col customWidth="1" min="9" max="9" width="13.86"/>
    <col customWidth="1" min="10" max="10" width="7.57"/>
    <col customWidth="1" min="11" max="11" width="13.0"/>
    <col customWidth="1" min="12" max="12" width="9.29"/>
    <col customWidth="1" min="13" max="13" width="14.71"/>
    <col customWidth="1" min="14" max="14" width="8.71"/>
    <col customWidth="1" min="15" max="15" width="14.29"/>
    <col customWidth="1" min="16" max="16" width="11.0"/>
    <col customWidth="1" min="17" max="17" width="14.29"/>
    <col customWidth="1" min="18" max="18" width="12.43"/>
    <col customWidth="1" min="19" max="19" width="14.71"/>
    <col customWidth="1" min="21" max="21" width="9.0"/>
  </cols>
  <sheetData>
    <row r="1" ht="41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7"/>
      <c r="V1" s="8"/>
      <c r="W1" s="8"/>
      <c r="X1" s="8"/>
      <c r="Y1" s="8"/>
      <c r="Z1" s="8"/>
      <c r="AA1" s="8"/>
      <c r="AB1" s="8"/>
      <c r="AC1" s="8"/>
      <c r="AD1" s="8"/>
      <c r="AE1" s="8"/>
    </row>
    <row r="2" ht="27.75" customHeight="1">
      <c r="A2" s="10"/>
      <c r="U2" s="12"/>
      <c r="V2" s="8"/>
      <c r="W2" s="8"/>
      <c r="X2" s="8"/>
      <c r="Y2" s="8"/>
      <c r="Z2" s="8"/>
      <c r="AA2" s="8"/>
      <c r="AB2" s="8"/>
      <c r="AC2" s="8"/>
      <c r="AD2" s="8"/>
      <c r="AE2" s="8"/>
    </row>
    <row r="3" ht="25.5" customHeight="1">
      <c r="A3" s="10"/>
      <c r="U3" s="12"/>
      <c r="V3" s="8"/>
      <c r="W3" s="8"/>
      <c r="X3" s="8"/>
      <c r="Y3" s="8"/>
      <c r="Z3" s="8"/>
      <c r="AA3" s="8"/>
      <c r="AB3" s="8"/>
      <c r="AC3" s="8"/>
      <c r="AD3" s="8"/>
      <c r="AE3" s="8"/>
    </row>
    <row r="4" ht="26.25" customHeight="1">
      <c r="A4" s="14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1.0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2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30" t="s">
        <v>20</v>
      </c>
      <c r="B6" s="32" t="s">
        <v>6</v>
      </c>
      <c r="C6" s="32" t="s">
        <v>10</v>
      </c>
      <c r="D6" s="32" t="s">
        <v>7</v>
      </c>
      <c r="E6" s="32" t="s">
        <v>13</v>
      </c>
      <c r="F6" s="32" t="s">
        <v>8</v>
      </c>
      <c r="G6" s="32" t="s">
        <v>15</v>
      </c>
      <c r="H6" s="32" t="s">
        <v>9</v>
      </c>
      <c r="I6" s="32" t="s">
        <v>19</v>
      </c>
      <c r="J6" s="32" t="s">
        <v>11</v>
      </c>
      <c r="K6" s="32" t="s">
        <v>23</v>
      </c>
      <c r="L6" s="32" t="s">
        <v>12</v>
      </c>
      <c r="M6" s="32" t="s">
        <v>25</v>
      </c>
      <c r="N6" s="32" t="s">
        <v>14</v>
      </c>
      <c r="O6" s="32" t="s">
        <v>27</v>
      </c>
      <c r="P6" s="32" t="s">
        <v>16</v>
      </c>
      <c r="Q6" s="32" t="s">
        <v>17</v>
      </c>
      <c r="R6" s="32" t="s">
        <v>18</v>
      </c>
      <c r="S6" s="32" t="s">
        <v>21</v>
      </c>
      <c r="T6" s="32" t="s">
        <v>22</v>
      </c>
      <c r="U6" s="32" t="s">
        <v>24</v>
      </c>
    </row>
    <row r="7">
      <c r="A7" s="41" t="s">
        <v>29</v>
      </c>
      <c r="B7" s="36">
        <v>42.0</v>
      </c>
      <c r="C7" s="34">
        <v>57.0</v>
      </c>
      <c r="D7" s="36">
        <v>51.0</v>
      </c>
      <c r="E7" s="34">
        <v>56.0</v>
      </c>
      <c r="F7" s="33">
        <v>79.0</v>
      </c>
      <c r="G7" s="34">
        <v>76.0</v>
      </c>
      <c r="H7" s="36">
        <v>95.0</v>
      </c>
      <c r="I7" s="34">
        <v>61.0</v>
      </c>
      <c r="J7" s="36">
        <v>96.0</v>
      </c>
      <c r="K7" s="34">
        <v>94.0</v>
      </c>
      <c r="L7" s="36">
        <v>68.0</v>
      </c>
      <c r="M7" s="34">
        <v>84.0</v>
      </c>
      <c r="N7" s="36">
        <v>93.0</v>
      </c>
      <c r="O7" s="34">
        <v>116.0</v>
      </c>
      <c r="P7" s="36">
        <v>74.0</v>
      </c>
      <c r="Q7" s="36">
        <v>67.0</v>
      </c>
      <c r="R7" s="36"/>
      <c r="S7" s="36"/>
      <c r="T7" s="46"/>
      <c r="U7" s="26">
        <f t="shared" ref="U7:U30" si="1">SUM(B7:T7)</f>
        <v>1209</v>
      </c>
    </row>
    <row r="8">
      <c r="A8" s="41" t="s">
        <v>34</v>
      </c>
      <c r="B8" s="36">
        <v>106.0</v>
      </c>
      <c r="C8" s="34">
        <v>2.0</v>
      </c>
      <c r="D8" s="36">
        <v>30.0</v>
      </c>
      <c r="E8" s="34">
        <v>1.0</v>
      </c>
      <c r="F8" s="33">
        <v>120.0</v>
      </c>
      <c r="G8" s="34">
        <v>6.0</v>
      </c>
      <c r="H8" s="36">
        <v>132.0</v>
      </c>
      <c r="I8" s="34">
        <v>0.0</v>
      </c>
      <c r="J8" s="36">
        <v>31.0</v>
      </c>
      <c r="K8" s="34">
        <v>0.0</v>
      </c>
      <c r="L8" s="36">
        <v>31.0</v>
      </c>
      <c r="M8" s="34">
        <v>0.0</v>
      </c>
      <c r="N8" s="36">
        <v>53.0</v>
      </c>
      <c r="O8" s="34">
        <v>2.0</v>
      </c>
      <c r="P8" s="36">
        <v>5.0</v>
      </c>
      <c r="Q8" s="36">
        <v>0.0</v>
      </c>
      <c r="R8" s="36"/>
      <c r="S8" s="36"/>
      <c r="T8" s="46"/>
      <c r="U8" s="26">
        <f t="shared" si="1"/>
        <v>519</v>
      </c>
      <c r="W8" s="8"/>
    </row>
    <row r="9">
      <c r="A9" s="41" t="s">
        <v>26</v>
      </c>
      <c r="B9" s="36">
        <v>737.0</v>
      </c>
      <c r="C9" s="34">
        <v>438.0</v>
      </c>
      <c r="D9" s="36">
        <v>931.0</v>
      </c>
      <c r="E9" s="34">
        <v>296.0</v>
      </c>
      <c r="F9" s="33">
        <v>1120.0</v>
      </c>
      <c r="G9" s="34">
        <v>478.0</v>
      </c>
      <c r="H9" s="36">
        <v>901.0</v>
      </c>
      <c r="I9" s="34">
        <v>290.0</v>
      </c>
      <c r="J9" s="36">
        <v>1176.0</v>
      </c>
      <c r="K9" s="34">
        <v>401.0</v>
      </c>
      <c r="L9" s="36">
        <v>1011.0</v>
      </c>
      <c r="M9" s="34">
        <v>354.0</v>
      </c>
      <c r="N9" s="53">
        <v>1351.0</v>
      </c>
      <c r="O9" s="34">
        <v>422.0</v>
      </c>
      <c r="P9" s="53">
        <v>973.0</v>
      </c>
      <c r="Q9" s="36">
        <v>1097.0</v>
      </c>
      <c r="R9" s="36"/>
      <c r="S9" s="36"/>
      <c r="T9" s="46"/>
      <c r="U9" s="26">
        <f t="shared" si="1"/>
        <v>11976</v>
      </c>
    </row>
    <row r="10">
      <c r="A10" s="41" t="s">
        <v>30</v>
      </c>
      <c r="B10" s="36">
        <v>164.0</v>
      </c>
      <c r="C10" s="34">
        <v>52.0</v>
      </c>
      <c r="D10" s="36">
        <v>87.0</v>
      </c>
      <c r="E10" s="34">
        <v>54.0</v>
      </c>
      <c r="F10" s="33">
        <v>130.0</v>
      </c>
      <c r="G10" s="34">
        <v>73.0</v>
      </c>
      <c r="H10" s="36">
        <v>142.0</v>
      </c>
      <c r="I10" s="34">
        <v>51.0</v>
      </c>
      <c r="J10" s="36">
        <v>127.0</v>
      </c>
      <c r="K10" s="34">
        <v>73.0</v>
      </c>
      <c r="L10" s="36">
        <v>144.0</v>
      </c>
      <c r="M10" s="34">
        <v>94.0</v>
      </c>
      <c r="N10" s="36">
        <v>131.0</v>
      </c>
      <c r="O10" s="34">
        <v>66.0</v>
      </c>
      <c r="P10" s="36">
        <v>114.0</v>
      </c>
      <c r="Q10" s="36">
        <v>125.0</v>
      </c>
      <c r="R10" s="36"/>
      <c r="S10" s="36"/>
      <c r="T10" s="46"/>
      <c r="U10" s="26">
        <f t="shared" si="1"/>
        <v>1627</v>
      </c>
    </row>
    <row r="11">
      <c r="A11" s="41" t="s">
        <v>32</v>
      </c>
      <c r="B11" s="36">
        <v>8.0</v>
      </c>
      <c r="C11" s="34">
        <v>2.0</v>
      </c>
      <c r="D11" s="36">
        <v>7.0</v>
      </c>
      <c r="E11" s="34">
        <v>1.0</v>
      </c>
      <c r="F11" s="33">
        <v>10.0</v>
      </c>
      <c r="G11" s="34">
        <v>3.0</v>
      </c>
      <c r="H11" s="36">
        <v>5.0</v>
      </c>
      <c r="I11" s="34">
        <v>3.0</v>
      </c>
      <c r="J11" s="36">
        <v>2.0</v>
      </c>
      <c r="K11" s="34">
        <v>0.0</v>
      </c>
      <c r="L11" s="36">
        <v>7.0</v>
      </c>
      <c r="M11" s="34">
        <v>1.0</v>
      </c>
      <c r="N11" s="36">
        <v>5.0</v>
      </c>
      <c r="O11" s="34">
        <v>1.0</v>
      </c>
      <c r="P11" s="36">
        <v>8.0</v>
      </c>
      <c r="Q11" s="36">
        <v>22.0</v>
      </c>
      <c r="R11" s="36"/>
      <c r="S11" s="36"/>
      <c r="T11" s="46"/>
      <c r="U11" s="26">
        <f t="shared" si="1"/>
        <v>85</v>
      </c>
    </row>
    <row r="12">
      <c r="A12" s="41" t="s">
        <v>33</v>
      </c>
      <c r="B12" s="36">
        <v>109.0</v>
      </c>
      <c r="C12" s="34">
        <v>5.0</v>
      </c>
      <c r="D12" s="36">
        <v>35.0</v>
      </c>
      <c r="E12" s="34">
        <v>4.0</v>
      </c>
      <c r="F12" s="33">
        <v>44.0</v>
      </c>
      <c r="G12" s="34">
        <v>5.0</v>
      </c>
      <c r="H12" s="36">
        <v>56.0</v>
      </c>
      <c r="I12" s="34">
        <v>2.0</v>
      </c>
      <c r="J12" s="36">
        <v>31.0</v>
      </c>
      <c r="K12" s="34">
        <v>0.0</v>
      </c>
      <c r="L12" s="36">
        <v>38.0</v>
      </c>
      <c r="M12" s="34">
        <v>1.0</v>
      </c>
      <c r="N12" s="36">
        <v>49.0</v>
      </c>
      <c r="O12" s="34">
        <v>1.0</v>
      </c>
      <c r="P12" s="36">
        <v>1.0</v>
      </c>
      <c r="Q12" s="36">
        <v>4.0</v>
      </c>
      <c r="R12" s="36"/>
      <c r="S12" s="36"/>
      <c r="T12" s="46"/>
      <c r="U12" s="26">
        <f t="shared" si="1"/>
        <v>385</v>
      </c>
    </row>
    <row r="13">
      <c r="A13" s="41" t="s">
        <v>35</v>
      </c>
      <c r="B13" s="36">
        <v>189.0</v>
      </c>
      <c r="C13" s="34">
        <v>76.0</v>
      </c>
      <c r="D13" s="36">
        <v>89.0</v>
      </c>
      <c r="E13" s="34">
        <v>54.0</v>
      </c>
      <c r="F13" s="33">
        <v>139.0</v>
      </c>
      <c r="G13" s="34">
        <v>78.0</v>
      </c>
      <c r="H13" s="36">
        <v>152.0</v>
      </c>
      <c r="I13" s="34">
        <v>57.0</v>
      </c>
      <c r="J13" s="36">
        <v>128.0</v>
      </c>
      <c r="K13" s="34">
        <v>71.0</v>
      </c>
      <c r="L13" s="36">
        <v>99.0</v>
      </c>
      <c r="M13" s="34">
        <v>85.0</v>
      </c>
      <c r="N13" s="36">
        <v>140.0</v>
      </c>
      <c r="O13" s="34">
        <v>76.0</v>
      </c>
      <c r="P13" s="36">
        <v>127.0</v>
      </c>
      <c r="Q13" s="36">
        <v>133.0</v>
      </c>
      <c r="R13" s="36"/>
      <c r="S13" s="36"/>
      <c r="T13" s="46"/>
      <c r="U13" s="26">
        <f t="shared" si="1"/>
        <v>1693</v>
      </c>
    </row>
    <row r="14">
      <c r="A14" s="41" t="s">
        <v>36</v>
      </c>
      <c r="B14" s="36">
        <v>457.0</v>
      </c>
      <c r="C14" s="34">
        <v>484.0</v>
      </c>
      <c r="D14" s="36">
        <v>858.0</v>
      </c>
      <c r="E14" s="34">
        <v>360.0</v>
      </c>
      <c r="F14" s="33">
        <v>998.0</v>
      </c>
      <c r="G14" s="34">
        <v>541.0</v>
      </c>
      <c r="H14" s="53">
        <v>915.0</v>
      </c>
      <c r="I14" s="34">
        <v>312.0</v>
      </c>
      <c r="J14" s="36">
        <v>1062.0</v>
      </c>
      <c r="K14" s="34">
        <v>388.0</v>
      </c>
      <c r="L14" s="36">
        <v>978.0</v>
      </c>
      <c r="M14" s="34">
        <v>397.0</v>
      </c>
      <c r="N14" s="36">
        <v>681.0</v>
      </c>
      <c r="O14" s="34">
        <v>483.0</v>
      </c>
      <c r="P14" s="36">
        <v>1115.0</v>
      </c>
      <c r="Q14" s="36">
        <v>1071.0</v>
      </c>
      <c r="R14" s="36"/>
      <c r="S14" s="36"/>
      <c r="T14" s="46"/>
      <c r="U14" s="26">
        <f t="shared" si="1"/>
        <v>11100</v>
      </c>
    </row>
    <row r="15">
      <c r="A15" s="41" t="s">
        <v>38</v>
      </c>
      <c r="B15" s="36">
        <v>15.0</v>
      </c>
      <c r="C15" s="34">
        <v>1.0</v>
      </c>
      <c r="D15" s="36">
        <v>17.0</v>
      </c>
      <c r="E15" s="34">
        <v>2.0</v>
      </c>
      <c r="F15" s="33">
        <v>32.0</v>
      </c>
      <c r="G15" s="34">
        <v>0.0</v>
      </c>
      <c r="H15" s="36">
        <v>19.0</v>
      </c>
      <c r="I15" s="34">
        <v>0.0</v>
      </c>
      <c r="J15" s="36">
        <v>17.0</v>
      </c>
      <c r="K15" s="34">
        <v>3.0</v>
      </c>
      <c r="L15" s="36">
        <v>7.0</v>
      </c>
      <c r="M15" s="34">
        <v>0.0</v>
      </c>
      <c r="N15" s="36">
        <v>20.0</v>
      </c>
      <c r="O15" s="34">
        <v>4.0</v>
      </c>
      <c r="P15" s="36">
        <v>6.0</v>
      </c>
      <c r="Q15" s="36">
        <v>6.0</v>
      </c>
      <c r="R15" s="36"/>
      <c r="S15" s="36"/>
      <c r="T15" s="46"/>
      <c r="U15" s="26">
        <f t="shared" si="1"/>
        <v>149</v>
      </c>
    </row>
    <row r="16">
      <c r="A16" s="41" t="s">
        <v>39</v>
      </c>
      <c r="B16" s="36">
        <v>0.0</v>
      </c>
      <c r="C16" s="34">
        <v>0.0</v>
      </c>
      <c r="D16" s="36">
        <v>0.0</v>
      </c>
      <c r="E16" s="34">
        <v>0.0</v>
      </c>
      <c r="F16" s="33">
        <v>0.0</v>
      </c>
      <c r="G16" s="34">
        <v>6.0</v>
      </c>
      <c r="H16" s="36">
        <v>0.0</v>
      </c>
      <c r="I16" s="34">
        <v>0.0</v>
      </c>
      <c r="J16" s="36">
        <v>1.0</v>
      </c>
      <c r="K16" s="34">
        <v>0.0</v>
      </c>
      <c r="L16" s="36">
        <v>15.0</v>
      </c>
      <c r="M16" s="34">
        <v>0.0</v>
      </c>
      <c r="N16" s="36">
        <v>0.0</v>
      </c>
      <c r="O16" s="34">
        <v>0.0</v>
      </c>
      <c r="P16" s="36">
        <v>2.0</v>
      </c>
      <c r="Q16" s="36">
        <v>1.0</v>
      </c>
      <c r="R16" s="36"/>
      <c r="S16" s="36"/>
      <c r="T16" s="46"/>
      <c r="U16" s="26">
        <f t="shared" si="1"/>
        <v>25</v>
      </c>
    </row>
    <row r="17">
      <c r="A17" s="41" t="s">
        <v>40</v>
      </c>
      <c r="B17" s="36">
        <v>102.0</v>
      </c>
      <c r="C17" s="34">
        <v>0.0</v>
      </c>
      <c r="D17" s="36">
        <v>28.0</v>
      </c>
      <c r="E17" s="34">
        <v>0.0</v>
      </c>
      <c r="F17" s="33">
        <v>28.0</v>
      </c>
      <c r="G17" s="34">
        <v>5.0</v>
      </c>
      <c r="H17" s="36">
        <v>46.0</v>
      </c>
      <c r="I17" s="34">
        <v>0.0</v>
      </c>
      <c r="J17" s="36">
        <v>35.0</v>
      </c>
      <c r="K17" s="34">
        <v>3.0</v>
      </c>
      <c r="L17" s="36">
        <v>38.0</v>
      </c>
      <c r="M17" s="34">
        <v>8.0</v>
      </c>
      <c r="N17" s="36">
        <v>56.0</v>
      </c>
      <c r="O17" s="34">
        <v>1.0</v>
      </c>
      <c r="P17" s="36">
        <v>10.0</v>
      </c>
      <c r="Q17" s="36">
        <v>0.0</v>
      </c>
      <c r="R17" s="36"/>
      <c r="S17" s="36"/>
      <c r="T17" s="46"/>
      <c r="U17" s="26">
        <f t="shared" si="1"/>
        <v>360</v>
      </c>
    </row>
    <row r="18">
      <c r="A18" s="41" t="s">
        <v>41</v>
      </c>
      <c r="B18" s="36">
        <v>73.0</v>
      </c>
      <c r="C18" s="34">
        <v>0.0</v>
      </c>
      <c r="D18" s="36">
        <v>61.0</v>
      </c>
      <c r="E18" s="34">
        <v>0.0</v>
      </c>
      <c r="F18" s="33">
        <v>110.0</v>
      </c>
      <c r="G18" s="34">
        <v>0.0</v>
      </c>
      <c r="H18" s="36">
        <v>97.0</v>
      </c>
      <c r="I18" s="34">
        <v>0.0</v>
      </c>
      <c r="J18" s="36">
        <v>72.0</v>
      </c>
      <c r="K18" s="34">
        <v>0.0</v>
      </c>
      <c r="L18" s="36">
        <v>111.0</v>
      </c>
      <c r="M18" s="34">
        <v>0.0</v>
      </c>
      <c r="N18" s="36">
        <v>111.0</v>
      </c>
      <c r="O18" s="34">
        <v>0.0</v>
      </c>
      <c r="P18" s="36">
        <v>98.0</v>
      </c>
      <c r="Q18" s="36">
        <v>87.0</v>
      </c>
      <c r="R18" s="36"/>
      <c r="S18" s="36"/>
      <c r="T18" s="46"/>
      <c r="U18" s="26">
        <f t="shared" si="1"/>
        <v>820</v>
      </c>
    </row>
    <row r="19">
      <c r="A19" s="41" t="s">
        <v>42</v>
      </c>
      <c r="B19" s="36">
        <v>102.0</v>
      </c>
      <c r="C19" s="34">
        <v>0.0</v>
      </c>
      <c r="D19" s="36">
        <v>2.0</v>
      </c>
      <c r="E19" s="34">
        <v>0.0</v>
      </c>
      <c r="F19" s="33">
        <v>0.0</v>
      </c>
      <c r="G19" s="34">
        <v>0.0</v>
      </c>
      <c r="H19" s="36">
        <v>46.0</v>
      </c>
      <c r="I19" s="34">
        <v>0.0</v>
      </c>
      <c r="J19" s="36">
        <v>18.0</v>
      </c>
      <c r="K19" s="34">
        <v>0.0</v>
      </c>
      <c r="L19" s="36">
        <v>15.0</v>
      </c>
      <c r="M19" s="34">
        <v>0.0</v>
      </c>
      <c r="N19" s="36">
        <v>0.0</v>
      </c>
      <c r="O19" s="34">
        <v>0.0</v>
      </c>
      <c r="P19" s="36">
        <v>1.0</v>
      </c>
      <c r="Q19" s="36">
        <v>0.0</v>
      </c>
      <c r="R19" s="36"/>
      <c r="S19" s="36"/>
      <c r="T19" s="46"/>
      <c r="U19" s="26">
        <f t="shared" si="1"/>
        <v>184</v>
      </c>
    </row>
    <row r="20">
      <c r="A20" s="41" t="s">
        <v>44</v>
      </c>
      <c r="B20" s="36">
        <v>0.0</v>
      </c>
      <c r="C20" s="34">
        <v>0.0</v>
      </c>
      <c r="D20" s="36">
        <v>0.0</v>
      </c>
      <c r="E20" s="34">
        <v>0.0</v>
      </c>
      <c r="F20" s="33">
        <v>8.0</v>
      </c>
      <c r="G20" s="34">
        <v>0.0</v>
      </c>
      <c r="H20" s="36">
        <v>0.0</v>
      </c>
      <c r="I20" s="34">
        <v>0.0</v>
      </c>
      <c r="J20" s="36">
        <v>2.0</v>
      </c>
      <c r="K20" s="34">
        <v>0.0</v>
      </c>
      <c r="L20" s="36">
        <v>2.0</v>
      </c>
      <c r="M20" s="34">
        <v>0.0</v>
      </c>
      <c r="N20" s="36">
        <v>5.0</v>
      </c>
      <c r="O20" s="34">
        <v>0.0</v>
      </c>
      <c r="P20" s="36">
        <v>1.0</v>
      </c>
      <c r="Q20" s="36">
        <v>2.0</v>
      </c>
      <c r="R20" s="36"/>
      <c r="S20" s="36"/>
      <c r="T20" s="46"/>
      <c r="U20" s="26">
        <f t="shared" si="1"/>
        <v>20</v>
      </c>
    </row>
    <row r="21" ht="15.75" customHeight="1">
      <c r="A21" s="41" t="s">
        <v>45</v>
      </c>
      <c r="B21" s="36">
        <v>0.0</v>
      </c>
      <c r="C21" s="34">
        <v>0.0</v>
      </c>
      <c r="D21" s="36">
        <v>0.0</v>
      </c>
      <c r="E21" s="34">
        <v>0.0</v>
      </c>
      <c r="F21" s="33">
        <v>0.0</v>
      </c>
      <c r="G21" s="34">
        <v>0.0</v>
      </c>
      <c r="H21" s="36">
        <v>2.0</v>
      </c>
      <c r="I21" s="34">
        <v>0.0</v>
      </c>
      <c r="J21" s="36">
        <v>1.0</v>
      </c>
      <c r="K21" s="34">
        <v>0.0</v>
      </c>
      <c r="L21" s="36">
        <v>2.0</v>
      </c>
      <c r="M21" s="34">
        <v>0.0</v>
      </c>
      <c r="N21" s="36">
        <v>1.0</v>
      </c>
      <c r="O21" s="34">
        <v>0.0</v>
      </c>
      <c r="P21" s="36">
        <v>2.0</v>
      </c>
      <c r="Q21" s="36">
        <v>1.0</v>
      </c>
      <c r="R21" s="36"/>
      <c r="S21" s="36"/>
      <c r="T21" s="46"/>
      <c r="U21" s="26">
        <f t="shared" si="1"/>
        <v>9</v>
      </c>
    </row>
    <row r="22" ht="15.75" customHeight="1">
      <c r="A22" s="41" t="s">
        <v>47</v>
      </c>
      <c r="B22" s="36">
        <v>0.0</v>
      </c>
      <c r="C22" s="34">
        <v>0.0</v>
      </c>
      <c r="D22" s="36">
        <v>0.0</v>
      </c>
      <c r="E22" s="34">
        <v>0.0</v>
      </c>
      <c r="F22" s="33">
        <v>0.0</v>
      </c>
      <c r="G22" s="34">
        <v>0.0</v>
      </c>
      <c r="H22" s="36">
        <v>0.0</v>
      </c>
      <c r="I22" s="34">
        <v>0.0</v>
      </c>
      <c r="J22" s="36">
        <v>1.0</v>
      </c>
      <c r="K22" s="34">
        <v>0.0</v>
      </c>
      <c r="L22" s="36">
        <v>0.0</v>
      </c>
      <c r="M22" s="34">
        <v>0.0</v>
      </c>
      <c r="N22" s="36">
        <v>1.0</v>
      </c>
      <c r="O22" s="34">
        <v>0.0</v>
      </c>
      <c r="P22" s="33">
        <v>1.0</v>
      </c>
      <c r="Q22" s="36">
        <v>3.0</v>
      </c>
      <c r="R22" s="36"/>
      <c r="S22" s="36"/>
      <c r="T22" s="46"/>
      <c r="U22" s="26">
        <f t="shared" si="1"/>
        <v>6</v>
      </c>
    </row>
    <row r="23" ht="15.75" customHeight="1">
      <c r="A23" s="41" t="s">
        <v>61</v>
      </c>
      <c r="B23" s="36">
        <v>0.0</v>
      </c>
      <c r="C23" s="34">
        <v>0.0</v>
      </c>
      <c r="D23" s="36">
        <v>1.0</v>
      </c>
      <c r="E23" s="34">
        <v>0.0</v>
      </c>
      <c r="F23" s="33">
        <v>0.0</v>
      </c>
      <c r="G23" s="34">
        <v>0.0</v>
      </c>
      <c r="H23" s="36">
        <v>0.0</v>
      </c>
      <c r="I23" s="34">
        <v>0.0</v>
      </c>
      <c r="J23" s="36">
        <v>0.0</v>
      </c>
      <c r="K23" s="34">
        <v>0.0</v>
      </c>
      <c r="L23" s="36">
        <v>0.0</v>
      </c>
      <c r="M23" s="34">
        <v>0.0</v>
      </c>
      <c r="N23" s="36">
        <v>0.0</v>
      </c>
      <c r="O23" s="34">
        <v>0.0</v>
      </c>
      <c r="P23" s="33">
        <v>0.0</v>
      </c>
      <c r="Q23" s="36">
        <v>0.0</v>
      </c>
      <c r="R23" s="36"/>
      <c r="S23" s="36"/>
      <c r="T23" s="46"/>
      <c r="U23" s="26">
        <f t="shared" si="1"/>
        <v>1</v>
      </c>
    </row>
    <row r="24" ht="15.75" customHeight="1">
      <c r="A24" s="41" t="s">
        <v>50</v>
      </c>
      <c r="B24" s="36">
        <f t="shared" ref="B24:T24" si="2">SUM(B7:B23)</f>
        <v>2104</v>
      </c>
      <c r="C24" s="36">
        <f t="shared" si="2"/>
        <v>1117</v>
      </c>
      <c r="D24" s="36">
        <f t="shared" si="2"/>
        <v>2197</v>
      </c>
      <c r="E24" s="36">
        <f t="shared" si="2"/>
        <v>828</v>
      </c>
      <c r="F24" s="36">
        <f t="shared" si="2"/>
        <v>2818</v>
      </c>
      <c r="G24" s="36">
        <f t="shared" si="2"/>
        <v>1271</v>
      </c>
      <c r="H24" s="36">
        <f t="shared" si="2"/>
        <v>2608</v>
      </c>
      <c r="I24" s="36">
        <f t="shared" si="2"/>
        <v>776</v>
      </c>
      <c r="J24" s="36">
        <f t="shared" si="2"/>
        <v>2800</v>
      </c>
      <c r="K24" s="36">
        <f t="shared" si="2"/>
        <v>1033</v>
      </c>
      <c r="L24" s="36">
        <f t="shared" si="2"/>
        <v>2566</v>
      </c>
      <c r="M24" s="36">
        <f t="shared" si="2"/>
        <v>1024</v>
      </c>
      <c r="N24" s="36">
        <f t="shared" si="2"/>
        <v>2697</v>
      </c>
      <c r="O24" s="36">
        <f t="shared" si="2"/>
        <v>1172</v>
      </c>
      <c r="P24" s="36">
        <f t="shared" si="2"/>
        <v>2538</v>
      </c>
      <c r="Q24" s="36">
        <f t="shared" si="2"/>
        <v>2619</v>
      </c>
      <c r="R24" s="36">
        <f t="shared" si="2"/>
        <v>0</v>
      </c>
      <c r="S24" s="36">
        <f t="shared" si="2"/>
        <v>0</v>
      </c>
      <c r="T24" s="36">
        <f t="shared" si="2"/>
        <v>0</v>
      </c>
      <c r="U24" s="26">
        <f t="shared" si="1"/>
        <v>30168</v>
      </c>
    </row>
    <row r="25" ht="15.75" customHeight="1">
      <c r="A25" s="41" t="s">
        <v>55</v>
      </c>
      <c r="B25" s="36">
        <v>0.0</v>
      </c>
      <c r="C25" s="34"/>
      <c r="D25" s="36">
        <v>0.0</v>
      </c>
      <c r="E25" s="34"/>
      <c r="F25" s="33">
        <v>0.0</v>
      </c>
      <c r="G25" s="34"/>
      <c r="H25" s="36">
        <v>0.0</v>
      </c>
      <c r="I25" s="34"/>
      <c r="J25" s="36">
        <v>0.0</v>
      </c>
      <c r="K25" s="34"/>
      <c r="L25" s="36">
        <v>0.0</v>
      </c>
      <c r="M25" s="34"/>
      <c r="N25" s="36">
        <v>0.0</v>
      </c>
      <c r="O25" s="34"/>
      <c r="P25" s="36">
        <v>0.0</v>
      </c>
      <c r="Q25" s="36">
        <v>0.0</v>
      </c>
      <c r="R25" s="36"/>
      <c r="S25" s="36"/>
      <c r="T25" s="46"/>
      <c r="U25" s="26">
        <f t="shared" si="1"/>
        <v>0</v>
      </c>
    </row>
    <row r="26" ht="15.75" customHeight="1">
      <c r="A26" s="41" t="s">
        <v>63</v>
      </c>
      <c r="B26" s="36">
        <v>4.0</v>
      </c>
      <c r="C26" s="34"/>
      <c r="D26" s="36">
        <v>4.0</v>
      </c>
      <c r="E26" s="34"/>
      <c r="F26" s="33">
        <v>3.0</v>
      </c>
      <c r="G26" s="34"/>
      <c r="H26" s="36">
        <v>2.0</v>
      </c>
      <c r="I26" s="34"/>
      <c r="J26" s="36">
        <v>4.0</v>
      </c>
      <c r="K26" s="34"/>
      <c r="L26" s="36">
        <v>15.0</v>
      </c>
      <c r="M26" s="34"/>
      <c r="N26" s="36">
        <v>4.0</v>
      </c>
      <c r="O26" s="34"/>
      <c r="P26" s="36">
        <v>4.0</v>
      </c>
      <c r="Q26" s="36">
        <v>7.0</v>
      </c>
      <c r="R26" s="36"/>
      <c r="S26" s="36"/>
      <c r="T26" s="46"/>
      <c r="U26" s="26">
        <f t="shared" si="1"/>
        <v>47</v>
      </c>
    </row>
    <row r="27" ht="15.75" customHeight="1">
      <c r="A27" s="41" t="s">
        <v>64</v>
      </c>
      <c r="B27" s="36">
        <v>0.0</v>
      </c>
      <c r="C27" s="34"/>
      <c r="D27" s="36">
        <v>0.0</v>
      </c>
      <c r="E27" s="34"/>
      <c r="F27" s="33">
        <v>1.0</v>
      </c>
      <c r="G27" s="34"/>
      <c r="H27" s="36">
        <v>0.0</v>
      </c>
      <c r="I27" s="34"/>
      <c r="J27" s="36">
        <v>0.0</v>
      </c>
      <c r="K27" s="34"/>
      <c r="L27" s="36">
        <v>2.0</v>
      </c>
      <c r="M27" s="34"/>
      <c r="N27" s="36">
        <v>0.0</v>
      </c>
      <c r="O27" s="34"/>
      <c r="P27" s="36">
        <v>1.0</v>
      </c>
      <c r="Q27" s="36">
        <v>0.0</v>
      </c>
      <c r="R27" s="36"/>
      <c r="S27" s="36"/>
      <c r="T27" s="46"/>
      <c r="U27" s="26">
        <f t="shared" si="1"/>
        <v>4</v>
      </c>
    </row>
    <row r="28" ht="15.75" customHeight="1">
      <c r="A28" s="41" t="s">
        <v>54</v>
      </c>
      <c r="B28" s="36">
        <v>2002.0</v>
      </c>
      <c r="C28" s="34"/>
      <c r="D28" s="36">
        <v>2017.0</v>
      </c>
      <c r="E28" s="34"/>
      <c r="F28" s="36">
        <v>2037.0</v>
      </c>
      <c r="G28" s="34"/>
      <c r="H28" s="36">
        <v>2049.0</v>
      </c>
      <c r="I28" s="34"/>
      <c r="J28" s="36">
        <v>2091.0</v>
      </c>
      <c r="K28" s="34"/>
      <c r="L28" s="36">
        <v>2108.0</v>
      </c>
      <c r="M28" s="34"/>
      <c r="N28" s="36">
        <v>2129.0</v>
      </c>
      <c r="O28" s="34"/>
      <c r="P28" s="33">
        <v>2149.0</v>
      </c>
      <c r="Q28" s="36">
        <v>2162.0</v>
      </c>
      <c r="R28" s="36"/>
      <c r="S28" s="36"/>
      <c r="T28" s="46"/>
      <c r="U28" s="26">
        <f t="shared" si="1"/>
        <v>18744</v>
      </c>
    </row>
    <row r="29" ht="15.75" customHeight="1">
      <c r="A29" s="66" t="s">
        <v>65</v>
      </c>
      <c r="B29" s="45">
        <v>16.0</v>
      </c>
      <c r="C29" s="34"/>
      <c r="D29" s="45">
        <v>22.0</v>
      </c>
      <c r="E29" s="34"/>
      <c r="F29" s="45">
        <v>26.0</v>
      </c>
      <c r="G29" s="34"/>
      <c r="H29" s="45">
        <v>14.0</v>
      </c>
      <c r="I29" s="34"/>
      <c r="J29" s="45">
        <v>44.0</v>
      </c>
      <c r="K29" s="34"/>
      <c r="L29" s="45">
        <v>18.0</v>
      </c>
      <c r="M29" s="34"/>
      <c r="N29" s="45">
        <v>25.0</v>
      </c>
      <c r="O29" s="34"/>
      <c r="P29" s="45">
        <v>26.0</v>
      </c>
      <c r="Q29" s="45">
        <v>20.0</v>
      </c>
      <c r="R29" s="45"/>
      <c r="S29" s="45"/>
      <c r="T29" s="47"/>
      <c r="U29" s="26">
        <f t="shared" si="1"/>
        <v>211</v>
      </c>
    </row>
    <row r="30" ht="15.75" customHeight="1">
      <c r="A30" s="66" t="s">
        <v>58</v>
      </c>
      <c r="B30" s="45">
        <v>2.0</v>
      </c>
      <c r="C30" s="34"/>
      <c r="D30" s="45">
        <v>7.0</v>
      </c>
      <c r="E30" s="34"/>
      <c r="F30" s="45">
        <v>6.0</v>
      </c>
      <c r="G30" s="34"/>
      <c r="H30" s="45">
        <v>2.0</v>
      </c>
      <c r="I30" s="34"/>
      <c r="J30" s="45">
        <v>2.0</v>
      </c>
      <c r="K30" s="34"/>
      <c r="L30" s="45">
        <v>1.0</v>
      </c>
      <c r="M30" s="34"/>
      <c r="N30" s="45">
        <v>4.0</v>
      </c>
      <c r="O30" s="34"/>
      <c r="P30" s="45">
        <v>6.0</v>
      </c>
      <c r="Q30" s="45">
        <v>7.0</v>
      </c>
      <c r="R30" s="45"/>
      <c r="S30" s="45"/>
      <c r="T30" s="47"/>
      <c r="U30" s="26">
        <f t="shared" si="1"/>
        <v>37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4"/>
    <mergeCell ref="A5:U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0.29"/>
    <col customWidth="1" min="3" max="3" width="12.0"/>
    <col customWidth="1" min="4" max="4" width="10.71"/>
    <col customWidth="1" min="5" max="5" width="10.0"/>
    <col customWidth="1" min="6" max="7" width="10.86"/>
    <col customWidth="1" min="8" max="8" width="10.71"/>
    <col customWidth="1" min="9" max="9" width="9.86"/>
    <col customWidth="1" min="10" max="10" width="10.71"/>
    <col customWidth="1" min="11" max="11" width="11.86"/>
    <col customWidth="1" min="12" max="12" width="11.14"/>
    <col customWidth="1" min="13" max="13" width="12.57"/>
    <col customWidth="1" min="14" max="14" width="12.86"/>
  </cols>
  <sheetData>
    <row r="1" ht="23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7"/>
      <c r="V1" s="8"/>
      <c r="W1" s="8"/>
      <c r="X1" s="8"/>
      <c r="Y1" s="8"/>
      <c r="Z1" s="8"/>
      <c r="AA1" s="8"/>
      <c r="AB1" s="8"/>
      <c r="AC1" s="8"/>
      <c r="AD1" s="8"/>
      <c r="AE1" s="8"/>
    </row>
    <row r="2" ht="23.25" customHeight="1">
      <c r="A2" s="10"/>
      <c r="U2" s="12"/>
      <c r="V2" s="8"/>
      <c r="W2" s="8"/>
      <c r="X2" s="8"/>
      <c r="Y2" s="8"/>
      <c r="Z2" s="8"/>
      <c r="AA2" s="8"/>
      <c r="AB2" s="8"/>
      <c r="AC2" s="8"/>
      <c r="AD2" s="8"/>
      <c r="AE2" s="8"/>
    </row>
    <row r="3" ht="21.0" customHeight="1">
      <c r="A3" s="10"/>
      <c r="U3" s="12"/>
      <c r="V3" s="8"/>
      <c r="W3" s="8"/>
      <c r="X3" s="8"/>
      <c r="Y3" s="8"/>
      <c r="Z3" s="8"/>
      <c r="AA3" s="8"/>
      <c r="AB3" s="8"/>
      <c r="AC3" s="8"/>
      <c r="AD3" s="8"/>
      <c r="AE3" s="8"/>
    </row>
    <row r="4" ht="26.25" customHeight="1">
      <c r="A4" s="14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18.0" customHeight="1">
      <c r="A5" s="2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5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7" t="s">
        <v>5</v>
      </c>
      <c r="B6" s="27" t="s">
        <v>6</v>
      </c>
      <c r="C6" s="27" t="s">
        <v>10</v>
      </c>
      <c r="D6" s="27" t="s">
        <v>7</v>
      </c>
      <c r="E6" s="27" t="s">
        <v>13</v>
      </c>
      <c r="F6" s="27" t="s">
        <v>8</v>
      </c>
      <c r="G6" s="27" t="s">
        <v>15</v>
      </c>
      <c r="H6" s="27" t="s">
        <v>9</v>
      </c>
      <c r="I6" s="27" t="s">
        <v>19</v>
      </c>
      <c r="J6" s="27" t="s">
        <v>11</v>
      </c>
      <c r="K6" s="27" t="s">
        <v>23</v>
      </c>
      <c r="L6" s="27" t="s">
        <v>12</v>
      </c>
      <c r="M6" s="27" t="s">
        <v>25</v>
      </c>
      <c r="N6" s="27" t="s">
        <v>14</v>
      </c>
      <c r="O6" s="27" t="s">
        <v>27</v>
      </c>
      <c r="P6" s="27" t="s">
        <v>16</v>
      </c>
      <c r="Q6" s="27" t="s">
        <v>17</v>
      </c>
      <c r="R6" s="27" t="s">
        <v>18</v>
      </c>
      <c r="S6" s="27" t="s">
        <v>21</v>
      </c>
      <c r="T6" s="27" t="s">
        <v>22</v>
      </c>
      <c r="U6" s="27" t="s">
        <v>24</v>
      </c>
    </row>
    <row r="7">
      <c r="A7" s="35" t="s">
        <v>29</v>
      </c>
      <c r="B7" s="38">
        <v>106.0</v>
      </c>
      <c r="C7" s="34">
        <v>86.0</v>
      </c>
      <c r="D7" s="39">
        <v>90.0</v>
      </c>
      <c r="E7" s="34">
        <v>80.0</v>
      </c>
      <c r="F7" s="40">
        <v>123.0</v>
      </c>
      <c r="G7" s="34">
        <v>113.0</v>
      </c>
      <c r="H7" s="40">
        <v>112.0</v>
      </c>
      <c r="I7" s="34">
        <v>105.0</v>
      </c>
      <c r="J7" s="39">
        <v>148.0</v>
      </c>
      <c r="K7" s="34">
        <v>71.0</v>
      </c>
      <c r="L7" s="39">
        <v>134.0</v>
      </c>
      <c r="M7" s="34">
        <v>78.0</v>
      </c>
      <c r="N7" s="40">
        <v>149.0</v>
      </c>
      <c r="O7" s="34">
        <v>63.0</v>
      </c>
      <c r="P7" s="40">
        <v>151.0</v>
      </c>
      <c r="Q7" s="42">
        <v>134.0</v>
      </c>
      <c r="R7" s="42"/>
      <c r="S7" s="42"/>
      <c r="T7" s="43"/>
      <c r="U7" s="27">
        <f t="shared" ref="U7:U23" si="1">SUM(B7:T7)</f>
        <v>1743</v>
      </c>
    </row>
    <row r="8">
      <c r="A8" s="35" t="s">
        <v>34</v>
      </c>
      <c r="B8" s="38">
        <v>14.0</v>
      </c>
      <c r="C8" s="34">
        <v>0.0</v>
      </c>
      <c r="D8" s="39">
        <v>10.0</v>
      </c>
      <c r="E8" s="34">
        <v>5.0</v>
      </c>
      <c r="F8" s="39">
        <v>15.0</v>
      </c>
      <c r="G8" s="34">
        <v>1.0</v>
      </c>
      <c r="H8" s="39">
        <v>14.0</v>
      </c>
      <c r="I8" s="34">
        <v>5.0</v>
      </c>
      <c r="J8" s="39">
        <v>23.0</v>
      </c>
      <c r="K8" s="34">
        <v>14.0</v>
      </c>
      <c r="L8" s="39">
        <v>10.0</v>
      </c>
      <c r="M8" s="34">
        <v>9.0</v>
      </c>
      <c r="N8" s="40">
        <v>24.0</v>
      </c>
      <c r="O8" s="34">
        <v>1.0</v>
      </c>
      <c r="P8" s="40">
        <v>23.0</v>
      </c>
      <c r="Q8" s="39">
        <v>37.0</v>
      </c>
      <c r="R8" s="39"/>
      <c r="S8" s="39"/>
      <c r="T8" s="43"/>
      <c r="U8" s="27">
        <f t="shared" si="1"/>
        <v>205</v>
      </c>
    </row>
    <row r="9">
      <c r="A9" s="35" t="s">
        <v>26</v>
      </c>
      <c r="B9" s="38">
        <v>623.0</v>
      </c>
      <c r="C9" s="34">
        <v>251.0</v>
      </c>
      <c r="D9" s="39">
        <v>822.0</v>
      </c>
      <c r="E9" s="34">
        <v>484.0</v>
      </c>
      <c r="F9" s="40">
        <v>901.0</v>
      </c>
      <c r="G9" s="34">
        <v>107.0</v>
      </c>
      <c r="H9" s="40">
        <v>941.0</v>
      </c>
      <c r="I9" s="34">
        <v>270.0</v>
      </c>
      <c r="J9" s="39">
        <v>837.0</v>
      </c>
      <c r="K9" s="34">
        <v>235.0</v>
      </c>
      <c r="L9" s="39">
        <v>813.0</v>
      </c>
      <c r="M9" s="34">
        <v>294.0</v>
      </c>
      <c r="N9" s="49">
        <v>985.0</v>
      </c>
      <c r="O9" s="34">
        <v>395.0</v>
      </c>
      <c r="P9" s="40">
        <v>940.0</v>
      </c>
      <c r="Q9" s="39">
        <v>802.0</v>
      </c>
      <c r="R9" s="39"/>
      <c r="S9" s="39"/>
      <c r="T9" s="43"/>
      <c r="U9" s="27">
        <f t="shared" si="1"/>
        <v>9700</v>
      </c>
    </row>
    <row r="10">
      <c r="A10" s="35" t="s">
        <v>30</v>
      </c>
      <c r="B10" s="38">
        <v>35.0</v>
      </c>
      <c r="C10" s="34">
        <v>61.0</v>
      </c>
      <c r="D10" s="39">
        <v>16.0</v>
      </c>
      <c r="E10" s="34">
        <v>72.0</v>
      </c>
      <c r="F10" s="40">
        <v>4.0</v>
      </c>
      <c r="G10" s="34">
        <v>54.0</v>
      </c>
      <c r="H10" s="40">
        <v>66.0</v>
      </c>
      <c r="I10" s="34">
        <v>29.0</v>
      </c>
      <c r="J10" s="39">
        <v>100.0</v>
      </c>
      <c r="K10" s="34">
        <v>48.0</v>
      </c>
      <c r="L10" s="39">
        <v>156.0</v>
      </c>
      <c r="M10" s="34">
        <v>59.0</v>
      </c>
      <c r="N10" s="40">
        <v>191.0</v>
      </c>
      <c r="O10" s="34">
        <v>150.0</v>
      </c>
      <c r="P10" s="40">
        <v>137.0</v>
      </c>
      <c r="Q10" s="39">
        <v>97.0</v>
      </c>
      <c r="R10" s="39"/>
      <c r="S10" s="39"/>
      <c r="T10" s="43"/>
      <c r="U10" s="27">
        <f t="shared" si="1"/>
        <v>1275</v>
      </c>
    </row>
    <row r="11">
      <c r="A11" s="35" t="s">
        <v>32</v>
      </c>
      <c r="B11" s="38">
        <v>7.0</v>
      </c>
      <c r="C11" s="34">
        <v>4.0</v>
      </c>
      <c r="D11" s="39">
        <v>10.0</v>
      </c>
      <c r="E11" s="34">
        <v>10.0</v>
      </c>
      <c r="F11" s="40">
        <v>15.0</v>
      </c>
      <c r="G11" s="34">
        <v>3.0</v>
      </c>
      <c r="H11" s="40">
        <v>19.0</v>
      </c>
      <c r="I11" s="34">
        <v>3.0</v>
      </c>
      <c r="J11" s="39">
        <v>26.0</v>
      </c>
      <c r="K11" s="34">
        <v>12.0</v>
      </c>
      <c r="L11" s="39">
        <v>16.0</v>
      </c>
      <c r="M11" s="34">
        <v>6.0</v>
      </c>
      <c r="N11" s="40">
        <v>9.0</v>
      </c>
      <c r="O11" s="34">
        <v>4.0</v>
      </c>
      <c r="P11" s="40">
        <v>10.0</v>
      </c>
      <c r="Q11" s="39">
        <v>34.0</v>
      </c>
      <c r="R11" s="39"/>
      <c r="S11" s="39"/>
      <c r="T11" s="43"/>
      <c r="U11" s="27">
        <f t="shared" si="1"/>
        <v>188</v>
      </c>
    </row>
    <row r="12">
      <c r="A12" s="35" t="s">
        <v>33</v>
      </c>
      <c r="B12" s="38">
        <v>6.0</v>
      </c>
      <c r="C12" s="34">
        <v>7.0</v>
      </c>
      <c r="D12" s="39">
        <v>0.0</v>
      </c>
      <c r="E12" s="34">
        <v>2.0</v>
      </c>
      <c r="F12" s="40">
        <v>30.0</v>
      </c>
      <c r="G12" s="34">
        <v>0.0</v>
      </c>
      <c r="H12" s="40">
        <v>18.0</v>
      </c>
      <c r="I12" s="34">
        <v>3.0</v>
      </c>
      <c r="J12" s="39">
        <v>59.0</v>
      </c>
      <c r="K12" s="34">
        <v>20.0</v>
      </c>
      <c r="L12" s="39">
        <v>31.0</v>
      </c>
      <c r="M12" s="34">
        <v>19.0</v>
      </c>
      <c r="N12" s="40">
        <v>7.0</v>
      </c>
      <c r="O12" s="34">
        <v>11.0</v>
      </c>
      <c r="P12" s="40">
        <v>0.0</v>
      </c>
      <c r="Q12" s="39">
        <v>0.0</v>
      </c>
      <c r="R12" s="39"/>
      <c r="S12" s="39"/>
      <c r="T12" s="43"/>
      <c r="U12" s="27">
        <f t="shared" si="1"/>
        <v>213</v>
      </c>
    </row>
    <row r="13">
      <c r="A13" s="35" t="s">
        <v>35</v>
      </c>
      <c r="B13" s="38">
        <v>26.0</v>
      </c>
      <c r="C13" s="34">
        <v>55.0</v>
      </c>
      <c r="D13" s="39">
        <v>5.0</v>
      </c>
      <c r="E13" s="34">
        <v>59.0</v>
      </c>
      <c r="F13" s="40">
        <v>0.0</v>
      </c>
      <c r="G13" s="34">
        <v>70.0</v>
      </c>
      <c r="H13" s="40">
        <v>36.0</v>
      </c>
      <c r="I13" s="34">
        <v>30.0</v>
      </c>
      <c r="J13" s="39">
        <v>76.0</v>
      </c>
      <c r="K13" s="34">
        <v>41.0</v>
      </c>
      <c r="L13" s="39">
        <v>59.0</v>
      </c>
      <c r="M13" s="34">
        <v>57.0</v>
      </c>
      <c r="N13" s="40">
        <v>128.0</v>
      </c>
      <c r="O13" s="34">
        <v>135.0</v>
      </c>
      <c r="P13" s="40">
        <v>72.0</v>
      </c>
      <c r="Q13" s="39">
        <v>91.0</v>
      </c>
      <c r="R13" s="39"/>
      <c r="S13" s="39"/>
      <c r="T13" s="43"/>
      <c r="U13" s="27">
        <f t="shared" si="1"/>
        <v>940</v>
      </c>
    </row>
    <row r="14">
      <c r="A14" s="35" t="s">
        <v>36</v>
      </c>
      <c r="B14" s="38">
        <v>113.0</v>
      </c>
      <c r="C14" s="34">
        <v>89.0</v>
      </c>
      <c r="D14" s="39">
        <v>68.0</v>
      </c>
      <c r="E14" s="34">
        <v>171.0</v>
      </c>
      <c r="F14" s="40">
        <v>55.0</v>
      </c>
      <c r="G14" s="34">
        <v>8.0</v>
      </c>
      <c r="H14" s="40">
        <v>32.0</v>
      </c>
      <c r="I14" s="34">
        <v>70.0</v>
      </c>
      <c r="J14" s="39">
        <v>93.0</v>
      </c>
      <c r="K14" s="34">
        <v>82.0</v>
      </c>
      <c r="L14" s="39">
        <v>57.0</v>
      </c>
      <c r="M14" s="34">
        <v>81.0</v>
      </c>
      <c r="N14" s="40">
        <v>366.0</v>
      </c>
      <c r="O14" s="34">
        <v>122.0</v>
      </c>
      <c r="P14" s="40">
        <v>348.0</v>
      </c>
      <c r="Q14" s="39">
        <v>332.0</v>
      </c>
      <c r="R14" s="39"/>
      <c r="S14" s="39"/>
      <c r="T14" s="43"/>
      <c r="U14" s="27">
        <f t="shared" si="1"/>
        <v>2087</v>
      </c>
    </row>
    <row r="15">
      <c r="A15" s="35" t="s">
        <v>38</v>
      </c>
      <c r="B15" s="38">
        <v>16.0</v>
      </c>
      <c r="C15" s="34">
        <v>5.0</v>
      </c>
      <c r="D15" s="39">
        <v>5.0</v>
      </c>
      <c r="E15" s="34">
        <v>7.0</v>
      </c>
      <c r="F15" s="40">
        <v>22.0</v>
      </c>
      <c r="G15" s="34">
        <v>2.0</v>
      </c>
      <c r="H15" s="40">
        <v>7.0</v>
      </c>
      <c r="I15" s="34">
        <v>23.0</v>
      </c>
      <c r="J15" s="39">
        <v>18.0</v>
      </c>
      <c r="K15" s="34">
        <v>5.0</v>
      </c>
      <c r="L15" s="39">
        <v>13.0</v>
      </c>
      <c r="M15" s="34">
        <v>9.0</v>
      </c>
      <c r="N15" s="40">
        <v>35.0</v>
      </c>
      <c r="O15" s="34">
        <v>18.0</v>
      </c>
      <c r="P15" s="40">
        <v>32.0</v>
      </c>
      <c r="Q15" s="39">
        <v>24.0</v>
      </c>
      <c r="R15" s="39"/>
      <c r="S15" s="39"/>
      <c r="T15" s="43"/>
      <c r="U15" s="27">
        <f t="shared" si="1"/>
        <v>241</v>
      </c>
    </row>
    <row r="16">
      <c r="A16" s="35" t="s">
        <v>39</v>
      </c>
      <c r="B16" s="38">
        <v>0.0</v>
      </c>
      <c r="C16" s="34">
        <v>0.0</v>
      </c>
      <c r="D16" s="39">
        <v>0.0</v>
      </c>
      <c r="E16" s="34">
        <v>0.0</v>
      </c>
      <c r="F16" s="40">
        <v>0.0</v>
      </c>
      <c r="G16" s="34">
        <v>0.0</v>
      </c>
      <c r="H16" s="40">
        <v>0.0</v>
      </c>
      <c r="I16" s="34">
        <v>0.0</v>
      </c>
      <c r="J16" s="39">
        <v>0.0</v>
      </c>
      <c r="K16" s="34">
        <v>0.0</v>
      </c>
      <c r="L16" s="39">
        <v>0.0</v>
      </c>
      <c r="M16" s="34">
        <v>0.0</v>
      </c>
      <c r="N16" s="40">
        <v>11.0</v>
      </c>
      <c r="O16" s="34">
        <v>0.0</v>
      </c>
      <c r="P16" s="40">
        <v>4.0</v>
      </c>
      <c r="Q16" s="39">
        <v>1.0</v>
      </c>
      <c r="R16" s="39"/>
      <c r="S16" s="39"/>
      <c r="T16" s="43"/>
      <c r="U16" s="27">
        <f t="shared" si="1"/>
        <v>16</v>
      </c>
    </row>
    <row r="17">
      <c r="A17" s="35" t="s">
        <v>40</v>
      </c>
      <c r="B17" s="38">
        <v>1.0</v>
      </c>
      <c r="C17" s="34">
        <v>0.0</v>
      </c>
      <c r="D17" s="39">
        <v>8.0</v>
      </c>
      <c r="E17" s="34">
        <v>3.0</v>
      </c>
      <c r="F17" s="40">
        <v>4.0</v>
      </c>
      <c r="G17" s="34">
        <v>2.0</v>
      </c>
      <c r="H17" s="40">
        <v>2.0</v>
      </c>
      <c r="I17" s="34">
        <v>2.0</v>
      </c>
      <c r="J17" s="39">
        <v>1.0</v>
      </c>
      <c r="K17" s="34">
        <v>0.0</v>
      </c>
      <c r="L17" s="39">
        <v>0.0</v>
      </c>
      <c r="M17" s="34">
        <v>1.0</v>
      </c>
      <c r="N17" s="40">
        <v>53.0</v>
      </c>
      <c r="O17" s="34">
        <v>37.0</v>
      </c>
      <c r="P17" s="40">
        <v>64.0</v>
      </c>
      <c r="Q17" s="39">
        <v>43.0</v>
      </c>
      <c r="R17" s="39"/>
      <c r="S17" s="39"/>
      <c r="T17" s="43"/>
      <c r="U17" s="27">
        <f t="shared" si="1"/>
        <v>221</v>
      </c>
    </row>
    <row r="18">
      <c r="A18" s="35" t="s">
        <v>41</v>
      </c>
      <c r="B18" s="38">
        <v>74.0</v>
      </c>
      <c r="C18" s="34">
        <v>90.0</v>
      </c>
      <c r="D18" s="39">
        <v>36.0</v>
      </c>
      <c r="E18" s="34">
        <v>52.0</v>
      </c>
      <c r="F18" s="40">
        <v>40.0</v>
      </c>
      <c r="G18" s="34">
        <v>70.0</v>
      </c>
      <c r="H18" s="40">
        <v>63.0</v>
      </c>
      <c r="I18" s="34">
        <v>81.0</v>
      </c>
      <c r="J18" s="39">
        <v>72.0</v>
      </c>
      <c r="K18" s="34">
        <v>72.0</v>
      </c>
      <c r="L18" s="39">
        <v>76.0</v>
      </c>
      <c r="M18" s="34">
        <v>69.0</v>
      </c>
      <c r="N18" s="40">
        <v>99.0</v>
      </c>
      <c r="O18" s="34">
        <v>98.0</v>
      </c>
      <c r="P18" s="40">
        <v>62.0</v>
      </c>
      <c r="Q18" s="39">
        <v>79.0</v>
      </c>
      <c r="R18" s="39"/>
      <c r="S18" s="39"/>
      <c r="T18" s="43"/>
      <c r="U18" s="27">
        <f t="shared" si="1"/>
        <v>1133</v>
      </c>
    </row>
    <row r="19">
      <c r="A19" s="35" t="s">
        <v>42</v>
      </c>
      <c r="B19" s="38">
        <v>0.0</v>
      </c>
      <c r="C19" s="34">
        <v>0.0</v>
      </c>
      <c r="D19" s="39">
        <v>10.0</v>
      </c>
      <c r="E19" s="34">
        <v>0.0</v>
      </c>
      <c r="F19" s="40">
        <v>24.0</v>
      </c>
      <c r="G19" s="34">
        <v>0.0</v>
      </c>
      <c r="H19" s="40">
        <v>13.0</v>
      </c>
      <c r="I19" s="34">
        <v>0.0</v>
      </c>
      <c r="J19" s="39">
        <v>0.0</v>
      </c>
      <c r="K19" s="34">
        <v>0.0</v>
      </c>
      <c r="L19" s="39">
        <v>0.0</v>
      </c>
      <c r="M19" s="34">
        <v>0.0</v>
      </c>
      <c r="N19" s="40">
        <v>11.0</v>
      </c>
      <c r="O19" s="34">
        <v>12.0</v>
      </c>
      <c r="P19" s="40">
        <v>4.0</v>
      </c>
      <c r="Q19" s="39">
        <v>12.0</v>
      </c>
      <c r="R19" s="39"/>
      <c r="S19" s="39"/>
      <c r="T19" s="43"/>
      <c r="U19" s="27">
        <f t="shared" si="1"/>
        <v>86</v>
      </c>
    </row>
    <row r="20">
      <c r="A20" s="35" t="s">
        <v>44</v>
      </c>
      <c r="B20" s="38">
        <v>0.0</v>
      </c>
      <c r="C20" s="34">
        <v>0.0</v>
      </c>
      <c r="D20" s="39">
        <v>1.0</v>
      </c>
      <c r="E20" s="34">
        <v>0.0</v>
      </c>
      <c r="F20" s="40">
        <v>0.0</v>
      </c>
      <c r="G20" s="34">
        <v>0.0</v>
      </c>
      <c r="H20" s="40">
        <v>0.0</v>
      </c>
      <c r="I20" s="34">
        <v>0.0</v>
      </c>
      <c r="J20" s="39">
        <v>0.0</v>
      </c>
      <c r="K20" s="34">
        <v>0.0</v>
      </c>
      <c r="L20" s="39">
        <v>0.0</v>
      </c>
      <c r="M20" s="34">
        <v>0.0</v>
      </c>
      <c r="N20" s="40">
        <v>0.0</v>
      </c>
      <c r="O20" s="34">
        <v>0.0</v>
      </c>
      <c r="P20" s="40">
        <v>0.0</v>
      </c>
      <c r="Q20" s="39">
        <v>0.0</v>
      </c>
      <c r="R20" s="39"/>
      <c r="S20" s="39"/>
      <c r="T20" s="43"/>
      <c r="U20" s="27">
        <f t="shared" si="1"/>
        <v>1</v>
      </c>
    </row>
    <row r="21" ht="15.75" customHeight="1">
      <c r="A21" s="35" t="s">
        <v>45</v>
      </c>
      <c r="B21" s="38">
        <v>0.0</v>
      </c>
      <c r="C21" s="34">
        <v>0.0</v>
      </c>
      <c r="D21" s="39">
        <v>1.0</v>
      </c>
      <c r="E21" s="34">
        <v>1.0</v>
      </c>
      <c r="F21" s="40">
        <v>0.0</v>
      </c>
      <c r="G21" s="34">
        <v>0.0</v>
      </c>
      <c r="H21" s="40">
        <v>0.0</v>
      </c>
      <c r="I21" s="34">
        <v>0.0</v>
      </c>
      <c r="J21" s="39">
        <v>4.0</v>
      </c>
      <c r="K21" s="34">
        <v>4.0</v>
      </c>
      <c r="L21" s="39">
        <v>0.0</v>
      </c>
      <c r="M21" s="34">
        <v>0.0</v>
      </c>
      <c r="N21" s="40">
        <v>2.0</v>
      </c>
      <c r="O21" s="34">
        <v>1.0</v>
      </c>
      <c r="P21" s="40">
        <v>0.0</v>
      </c>
      <c r="Q21" s="39">
        <v>0.0</v>
      </c>
      <c r="R21" s="39"/>
      <c r="S21" s="39"/>
      <c r="T21" s="43"/>
      <c r="U21" s="27">
        <f t="shared" si="1"/>
        <v>13</v>
      </c>
    </row>
    <row r="22" ht="15.75" customHeight="1">
      <c r="A22" s="35" t="s">
        <v>47</v>
      </c>
      <c r="B22" s="38">
        <v>0.0</v>
      </c>
      <c r="C22" s="34">
        <v>0.0</v>
      </c>
      <c r="D22" s="39">
        <v>0.0</v>
      </c>
      <c r="E22" s="34">
        <v>0.0</v>
      </c>
      <c r="F22" s="40">
        <v>0.0</v>
      </c>
      <c r="G22" s="34">
        <v>5.0</v>
      </c>
      <c r="H22" s="40">
        <v>6.0</v>
      </c>
      <c r="I22" s="34">
        <v>0.0</v>
      </c>
      <c r="J22" s="39">
        <v>1.0</v>
      </c>
      <c r="K22" s="34">
        <v>1.0</v>
      </c>
      <c r="L22" s="39">
        <v>0.0</v>
      </c>
      <c r="M22" s="34">
        <v>0.0</v>
      </c>
      <c r="N22" s="40">
        <v>1.0</v>
      </c>
      <c r="O22" s="34">
        <v>1.0</v>
      </c>
      <c r="P22" s="40">
        <v>2.0</v>
      </c>
      <c r="Q22" s="39">
        <v>4.0</v>
      </c>
      <c r="R22" s="39"/>
      <c r="S22" s="39"/>
      <c r="T22" s="43"/>
      <c r="U22" s="27">
        <f t="shared" si="1"/>
        <v>21</v>
      </c>
    </row>
    <row r="23" ht="15.75" customHeight="1">
      <c r="A23" s="41" t="s">
        <v>50</v>
      </c>
      <c r="B23" s="39">
        <f t="shared" ref="B23:T23" si="2">SUM(B7:B22)</f>
        <v>1021</v>
      </c>
      <c r="C23" s="39">
        <f t="shared" si="2"/>
        <v>648</v>
      </c>
      <c r="D23" s="39">
        <f t="shared" si="2"/>
        <v>1082</v>
      </c>
      <c r="E23" s="39">
        <f t="shared" si="2"/>
        <v>946</v>
      </c>
      <c r="F23" s="39">
        <f t="shared" si="2"/>
        <v>1233</v>
      </c>
      <c r="G23" s="39">
        <f t="shared" si="2"/>
        <v>435</v>
      </c>
      <c r="H23" s="39">
        <f t="shared" si="2"/>
        <v>1329</v>
      </c>
      <c r="I23" s="39">
        <f t="shared" si="2"/>
        <v>621</v>
      </c>
      <c r="J23" s="39">
        <f t="shared" si="2"/>
        <v>1458</v>
      </c>
      <c r="K23" s="39">
        <f t="shared" si="2"/>
        <v>605</v>
      </c>
      <c r="L23" s="39">
        <f t="shared" si="2"/>
        <v>1365</v>
      </c>
      <c r="M23" s="39">
        <f t="shared" si="2"/>
        <v>682</v>
      </c>
      <c r="N23" s="39">
        <f t="shared" si="2"/>
        <v>2071</v>
      </c>
      <c r="O23" s="39">
        <f t="shared" si="2"/>
        <v>1048</v>
      </c>
      <c r="P23" s="39">
        <f t="shared" si="2"/>
        <v>1849</v>
      </c>
      <c r="Q23" s="42">
        <f t="shared" si="2"/>
        <v>1690</v>
      </c>
      <c r="R23" s="42">
        <f t="shared" si="2"/>
        <v>0</v>
      </c>
      <c r="S23" s="42">
        <f t="shared" si="2"/>
        <v>0</v>
      </c>
      <c r="T23" s="39">
        <f t="shared" si="2"/>
        <v>0</v>
      </c>
      <c r="U23" s="27">
        <f t="shared" si="1"/>
        <v>18083</v>
      </c>
    </row>
    <row r="24" ht="15.75" customHeight="1">
      <c r="A24" s="35" t="s">
        <v>55</v>
      </c>
      <c r="B24" s="39">
        <v>1.0</v>
      </c>
      <c r="C24" s="34"/>
      <c r="D24" s="39">
        <v>0.0</v>
      </c>
      <c r="E24" s="34"/>
      <c r="F24" s="40">
        <v>0.0</v>
      </c>
      <c r="G24" s="34"/>
      <c r="H24" s="40">
        <v>1.0</v>
      </c>
      <c r="I24" s="34"/>
      <c r="J24" s="39">
        <v>1.0</v>
      </c>
      <c r="K24" s="34"/>
      <c r="L24" s="39">
        <v>1.0</v>
      </c>
      <c r="M24" s="34"/>
      <c r="N24" s="40">
        <v>1.0</v>
      </c>
      <c r="O24" s="34"/>
      <c r="P24" s="40">
        <v>0.0</v>
      </c>
      <c r="Q24" s="39">
        <v>0.0</v>
      </c>
      <c r="R24" s="39"/>
      <c r="S24" s="39"/>
      <c r="T24" s="43"/>
      <c r="U24" s="27">
        <v>5.0</v>
      </c>
    </row>
    <row r="25" ht="15.75" customHeight="1">
      <c r="A25" s="57" t="s">
        <v>56</v>
      </c>
      <c r="B25" s="52">
        <v>30.0</v>
      </c>
      <c r="C25" s="34"/>
      <c r="D25" s="52">
        <v>21.0</v>
      </c>
      <c r="E25" s="34"/>
      <c r="F25" s="52">
        <v>40.0</v>
      </c>
      <c r="G25" s="34"/>
      <c r="H25" s="52">
        <v>20.0</v>
      </c>
      <c r="I25" s="34"/>
      <c r="J25" s="52">
        <v>37.0</v>
      </c>
      <c r="K25" s="34"/>
      <c r="L25" s="52">
        <v>32.0</v>
      </c>
      <c r="M25" s="34"/>
      <c r="N25" s="52">
        <v>36.0</v>
      </c>
      <c r="O25" s="34"/>
      <c r="P25" s="52">
        <v>44.0</v>
      </c>
      <c r="Q25" s="52">
        <v>31.0</v>
      </c>
      <c r="R25" s="52"/>
      <c r="S25" s="52"/>
      <c r="T25" s="58"/>
      <c r="U25" s="27">
        <v>291.0</v>
      </c>
    </row>
    <row r="26" ht="15.75" customHeight="1">
      <c r="A26" s="35" t="s">
        <v>53</v>
      </c>
      <c r="B26" s="39">
        <v>3.0</v>
      </c>
      <c r="C26" s="34"/>
      <c r="D26" s="39">
        <v>2.0</v>
      </c>
      <c r="E26" s="34"/>
      <c r="F26" s="40">
        <v>3.0</v>
      </c>
      <c r="G26" s="34"/>
      <c r="H26" s="40">
        <v>1.0</v>
      </c>
      <c r="I26" s="34"/>
      <c r="J26" s="39">
        <v>1.0</v>
      </c>
      <c r="K26" s="34"/>
      <c r="L26" s="39">
        <v>0.0</v>
      </c>
      <c r="M26" s="34"/>
      <c r="N26" s="40">
        <v>0.0</v>
      </c>
      <c r="O26" s="34"/>
      <c r="P26" s="40">
        <v>1.0</v>
      </c>
      <c r="Q26" s="39">
        <v>0.0</v>
      </c>
      <c r="R26" s="39"/>
      <c r="S26" s="39"/>
      <c r="T26" s="43"/>
      <c r="U26" s="27">
        <v>11.0</v>
      </c>
    </row>
    <row r="27" ht="15.75" customHeight="1">
      <c r="A27" s="59" t="s">
        <v>54</v>
      </c>
      <c r="B27" s="42">
        <v>4770.0</v>
      </c>
      <c r="C27" s="34"/>
      <c r="D27" s="42">
        <v>4803.0</v>
      </c>
      <c r="E27" s="34"/>
      <c r="F27" s="39">
        <v>4853.0</v>
      </c>
      <c r="G27" s="34"/>
      <c r="H27" s="42">
        <v>4902.0</v>
      </c>
      <c r="I27" s="34"/>
      <c r="J27" s="42">
        <v>4962.0</v>
      </c>
      <c r="K27" s="34"/>
      <c r="L27" s="42">
        <v>4987.0</v>
      </c>
      <c r="M27" s="34"/>
      <c r="N27" s="42">
        <v>5040.0</v>
      </c>
      <c r="O27" s="34"/>
      <c r="P27" s="42">
        <v>5110.0</v>
      </c>
      <c r="Q27" s="39">
        <v>5160.0</v>
      </c>
      <c r="R27" s="42"/>
      <c r="S27" s="42"/>
      <c r="T27" s="62"/>
      <c r="U27" s="63">
        <v>44587.0</v>
      </c>
    </row>
    <row r="28" ht="15.75" customHeight="1">
      <c r="A28" s="35" t="s">
        <v>62</v>
      </c>
      <c r="B28" s="42">
        <v>977.0</v>
      </c>
      <c r="C28" s="34"/>
      <c r="D28" s="42">
        <v>1009.0</v>
      </c>
      <c r="E28" s="34"/>
      <c r="F28" s="49">
        <v>1020.0</v>
      </c>
      <c r="G28" s="34"/>
      <c r="H28" s="49">
        <v>1010.0</v>
      </c>
      <c r="I28" s="34"/>
      <c r="J28" s="42">
        <v>1029.0</v>
      </c>
      <c r="K28" s="34"/>
      <c r="L28" s="42">
        <v>1040.0</v>
      </c>
      <c r="M28" s="34"/>
      <c r="N28" s="49">
        <v>1225.0</v>
      </c>
      <c r="O28" s="34"/>
      <c r="P28" s="49">
        <v>1255.0</v>
      </c>
      <c r="Q28" s="42">
        <v>1198.0</v>
      </c>
      <c r="R28" s="42"/>
      <c r="S28" s="42"/>
      <c r="T28" s="65"/>
      <c r="U28" s="63">
        <v>9763.0</v>
      </c>
    </row>
    <row r="29" ht="15.75" customHeight="1">
      <c r="A29" s="57" t="s">
        <v>57</v>
      </c>
      <c r="B29" s="52">
        <v>58.0</v>
      </c>
      <c r="C29" s="34"/>
      <c r="D29" s="52">
        <v>43.0</v>
      </c>
      <c r="E29" s="34"/>
      <c r="F29" s="52">
        <v>55.0</v>
      </c>
      <c r="G29" s="34"/>
      <c r="H29" s="52">
        <v>49.0</v>
      </c>
      <c r="I29" s="34"/>
      <c r="J29" s="52">
        <v>76.0</v>
      </c>
      <c r="K29" s="34"/>
      <c r="L29" s="52">
        <v>58.0</v>
      </c>
      <c r="M29" s="34"/>
      <c r="N29" s="52">
        <v>76.0</v>
      </c>
      <c r="O29" s="34"/>
      <c r="P29" s="52">
        <v>91.0</v>
      </c>
      <c r="Q29" s="52">
        <v>70.0</v>
      </c>
      <c r="R29" s="52"/>
      <c r="S29" s="52"/>
      <c r="T29" s="58"/>
      <c r="U29" s="27">
        <v>576.0</v>
      </c>
    </row>
    <row r="30" ht="15.75" customHeight="1">
      <c r="A30" s="57" t="s">
        <v>58</v>
      </c>
      <c r="B30" s="52">
        <v>48.0</v>
      </c>
      <c r="C30" s="34"/>
      <c r="D30" s="52">
        <v>10.0</v>
      </c>
      <c r="E30" s="34"/>
      <c r="F30" s="52">
        <v>5.0</v>
      </c>
      <c r="G30" s="34"/>
      <c r="H30" s="52">
        <v>8.0</v>
      </c>
      <c r="I30" s="34"/>
      <c r="J30" s="52">
        <v>16.0</v>
      </c>
      <c r="K30" s="34"/>
      <c r="L30" s="52">
        <v>33.0</v>
      </c>
      <c r="M30" s="34"/>
      <c r="N30" s="52">
        <v>23.0</v>
      </c>
      <c r="O30" s="34"/>
      <c r="P30" s="52">
        <v>21.0</v>
      </c>
      <c r="Q30" s="52">
        <v>20.0</v>
      </c>
      <c r="R30" s="52"/>
      <c r="S30" s="52"/>
      <c r="T30" s="58"/>
      <c r="U30" s="27">
        <v>184.0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4"/>
    <mergeCell ref="A5:U5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" width="12.14"/>
    <col customWidth="1" min="3" max="3" width="10.86"/>
    <col customWidth="1" min="4" max="4" width="10.14"/>
    <col customWidth="1" min="5" max="5" width="9.86"/>
    <col customWidth="1" min="6" max="6" width="9.57"/>
    <col customWidth="1" min="7" max="7" width="10.14"/>
    <col customWidth="1" min="8" max="8" width="10.0"/>
    <col customWidth="1" min="9" max="9" width="12.57"/>
    <col customWidth="1" min="10" max="10" width="11.57"/>
    <col customWidth="1" min="11" max="11" width="12.0"/>
    <col customWidth="1" min="12" max="12" width="11.43"/>
    <col customWidth="1" min="13" max="13" width="12.71"/>
    <col customWidth="1" min="14" max="14" width="11.14"/>
  </cols>
  <sheetData>
    <row r="1" ht="23.25" customHeight="1">
      <c r="A1" s="2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7"/>
      <c r="V1" s="8"/>
      <c r="W1" s="8"/>
      <c r="X1" s="8"/>
      <c r="Y1" s="8"/>
      <c r="Z1" s="8"/>
      <c r="AA1" s="8"/>
      <c r="AB1" s="8"/>
      <c r="AC1" s="8"/>
      <c r="AD1" s="8"/>
      <c r="AE1" s="8"/>
    </row>
    <row r="2" ht="23.25" customHeight="1">
      <c r="A2" s="10"/>
      <c r="U2" s="12"/>
      <c r="V2" s="8"/>
      <c r="W2" s="8"/>
      <c r="X2" s="8"/>
      <c r="Y2" s="8"/>
      <c r="Z2" s="8"/>
      <c r="AA2" s="8"/>
      <c r="AB2" s="8"/>
      <c r="AC2" s="8"/>
      <c r="AD2" s="8"/>
      <c r="AE2" s="8"/>
    </row>
    <row r="3" ht="21.0" customHeight="1">
      <c r="A3" s="10"/>
      <c r="U3" s="12"/>
      <c r="V3" s="8"/>
      <c r="W3" s="8"/>
      <c r="X3" s="8"/>
      <c r="Y3" s="8"/>
      <c r="Z3" s="8"/>
      <c r="AA3" s="8"/>
      <c r="AB3" s="8"/>
      <c r="AC3" s="8"/>
      <c r="AD3" s="8"/>
      <c r="AE3" s="8"/>
    </row>
    <row r="4" ht="26.25" customHeight="1">
      <c r="A4" s="14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1.75" customHeight="1">
      <c r="A5" s="2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5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6" t="s">
        <v>5</v>
      </c>
      <c r="B6" s="26" t="s">
        <v>6</v>
      </c>
      <c r="C6" s="26" t="s">
        <v>10</v>
      </c>
      <c r="D6" s="26" t="s">
        <v>7</v>
      </c>
      <c r="E6" s="26" t="s">
        <v>13</v>
      </c>
      <c r="F6" s="26" t="s">
        <v>8</v>
      </c>
      <c r="G6" s="26" t="s">
        <v>15</v>
      </c>
      <c r="H6" s="26" t="s">
        <v>9</v>
      </c>
      <c r="I6" s="26" t="s">
        <v>19</v>
      </c>
      <c r="J6" s="26" t="s">
        <v>11</v>
      </c>
      <c r="K6" s="26" t="s">
        <v>23</v>
      </c>
      <c r="L6" s="26" t="s">
        <v>12</v>
      </c>
      <c r="M6" s="26" t="s">
        <v>25</v>
      </c>
      <c r="N6" s="26" t="s">
        <v>14</v>
      </c>
      <c r="O6" s="26" t="s">
        <v>27</v>
      </c>
      <c r="P6" s="26" t="s">
        <v>16</v>
      </c>
      <c r="Q6" s="26" t="s">
        <v>17</v>
      </c>
      <c r="R6" s="26" t="s">
        <v>18</v>
      </c>
      <c r="S6" s="26" t="s">
        <v>21</v>
      </c>
      <c r="T6" s="26" t="s">
        <v>22</v>
      </c>
      <c r="U6" s="26" t="s">
        <v>24</v>
      </c>
    </row>
    <row r="7">
      <c r="A7" s="28" t="s">
        <v>28</v>
      </c>
      <c r="B7" s="33">
        <v>100.0</v>
      </c>
      <c r="C7" s="34">
        <v>17.0</v>
      </c>
      <c r="D7" s="33">
        <v>110.0</v>
      </c>
      <c r="E7" s="34">
        <v>4.0</v>
      </c>
      <c r="F7" s="36">
        <v>142.0</v>
      </c>
      <c r="G7" s="34">
        <v>0.0</v>
      </c>
      <c r="H7" s="33">
        <v>13.0</v>
      </c>
      <c r="I7" s="34">
        <v>4.0</v>
      </c>
      <c r="J7" s="33">
        <v>125.0</v>
      </c>
      <c r="K7" s="34">
        <v>10.0</v>
      </c>
      <c r="L7" s="33">
        <v>63.0</v>
      </c>
      <c r="M7" s="34">
        <v>7.0</v>
      </c>
      <c r="N7" s="33">
        <v>67.0</v>
      </c>
      <c r="O7" s="34">
        <v>0.0</v>
      </c>
      <c r="P7" s="33">
        <v>46.0</v>
      </c>
      <c r="Q7" s="36">
        <v>63.0</v>
      </c>
      <c r="R7" s="33"/>
      <c r="S7" s="33"/>
      <c r="T7" s="37"/>
      <c r="U7" s="26">
        <f t="shared" ref="U7:U26" si="1">SUM(B7:T7)</f>
        <v>771</v>
      </c>
    </row>
    <row r="8">
      <c r="A8" s="44" t="s">
        <v>31</v>
      </c>
      <c r="B8" s="45">
        <v>116.0</v>
      </c>
      <c r="C8" s="34">
        <v>0.0</v>
      </c>
      <c r="D8" s="45">
        <v>271.0</v>
      </c>
      <c r="E8" s="34">
        <v>0.0</v>
      </c>
      <c r="F8" s="45">
        <v>282.0</v>
      </c>
      <c r="G8" s="34">
        <v>0.0</v>
      </c>
      <c r="H8" s="45">
        <v>83.0</v>
      </c>
      <c r="I8" s="34">
        <v>0.0</v>
      </c>
      <c r="J8" s="45">
        <v>93.0</v>
      </c>
      <c r="K8" s="34">
        <v>0.0</v>
      </c>
      <c r="L8" s="45">
        <v>87.0</v>
      </c>
      <c r="M8" s="34">
        <v>0.0</v>
      </c>
      <c r="N8" s="45">
        <v>134.0</v>
      </c>
      <c r="O8" s="34">
        <v>0.0</v>
      </c>
      <c r="P8" s="45">
        <v>114.0</v>
      </c>
      <c r="Q8" s="45">
        <v>125.0</v>
      </c>
      <c r="R8" s="45"/>
      <c r="S8" s="45"/>
      <c r="T8" s="47"/>
      <c r="U8" s="26">
        <f t="shared" si="1"/>
        <v>1305</v>
      </c>
    </row>
    <row r="9">
      <c r="A9" s="28" t="s">
        <v>37</v>
      </c>
      <c r="B9" s="33">
        <v>9.0</v>
      </c>
      <c r="C9" s="34">
        <v>0.0</v>
      </c>
      <c r="D9" s="33">
        <v>26.0</v>
      </c>
      <c r="E9" s="34">
        <v>0.0</v>
      </c>
      <c r="F9" s="33">
        <v>0.0</v>
      </c>
      <c r="G9" s="34">
        <v>0.0</v>
      </c>
      <c r="H9" s="33">
        <v>0.0</v>
      </c>
      <c r="I9" s="34">
        <v>0.0</v>
      </c>
      <c r="J9" s="33">
        <v>0.0</v>
      </c>
      <c r="K9" s="34">
        <v>0.0</v>
      </c>
      <c r="L9" s="33">
        <v>20.0</v>
      </c>
      <c r="M9" s="34">
        <v>6.0</v>
      </c>
      <c r="N9" s="33">
        <v>48.0</v>
      </c>
      <c r="O9" s="34">
        <v>0.0</v>
      </c>
      <c r="P9" s="33">
        <v>27.0</v>
      </c>
      <c r="Q9" s="36">
        <v>29.0</v>
      </c>
      <c r="R9" s="33"/>
      <c r="S9" s="33"/>
      <c r="T9" s="37"/>
      <c r="U9" s="26">
        <f t="shared" si="1"/>
        <v>165</v>
      </c>
    </row>
    <row r="10">
      <c r="A10" s="28" t="s">
        <v>26</v>
      </c>
      <c r="B10" s="48">
        <v>1137.0</v>
      </c>
      <c r="C10" s="34">
        <v>155.0</v>
      </c>
      <c r="D10" s="48">
        <v>1847.0</v>
      </c>
      <c r="E10" s="34">
        <v>177.0</v>
      </c>
      <c r="F10" s="48">
        <v>2132.0</v>
      </c>
      <c r="G10" s="34">
        <v>134.0</v>
      </c>
      <c r="H10" s="48">
        <v>1142.0</v>
      </c>
      <c r="I10" s="34">
        <v>116.0</v>
      </c>
      <c r="J10" s="48">
        <v>1530.0</v>
      </c>
      <c r="K10" s="34">
        <v>108.0</v>
      </c>
      <c r="L10" s="48">
        <v>1337.0</v>
      </c>
      <c r="M10" s="34">
        <v>147.0</v>
      </c>
      <c r="N10" s="33">
        <v>2023.0</v>
      </c>
      <c r="O10" s="34">
        <v>189.0</v>
      </c>
      <c r="P10" s="33">
        <v>1478.0</v>
      </c>
      <c r="Q10" s="36">
        <v>1676.0</v>
      </c>
      <c r="R10" s="48"/>
      <c r="S10" s="33"/>
      <c r="T10" s="50"/>
      <c r="U10" s="51">
        <f t="shared" si="1"/>
        <v>15328</v>
      </c>
    </row>
    <row r="11">
      <c r="A11" s="28" t="s">
        <v>43</v>
      </c>
      <c r="B11" s="33">
        <v>215.0</v>
      </c>
      <c r="C11" s="34">
        <v>44.0</v>
      </c>
      <c r="D11" s="33">
        <v>130.0</v>
      </c>
      <c r="E11" s="34">
        <v>42.0</v>
      </c>
      <c r="F11" s="33">
        <v>178.0</v>
      </c>
      <c r="G11" s="34">
        <v>36.0</v>
      </c>
      <c r="H11" s="33">
        <v>199.0</v>
      </c>
      <c r="I11" s="34">
        <v>65.0</v>
      </c>
      <c r="J11" s="33">
        <v>250.0</v>
      </c>
      <c r="K11" s="34">
        <v>40.0</v>
      </c>
      <c r="L11" s="33">
        <v>299.0</v>
      </c>
      <c r="M11" s="34">
        <v>57.0</v>
      </c>
      <c r="N11" s="33">
        <v>272.0</v>
      </c>
      <c r="O11" s="34">
        <v>45.0</v>
      </c>
      <c r="P11" s="33">
        <v>325.0</v>
      </c>
      <c r="Q11" s="36">
        <v>243.0</v>
      </c>
      <c r="R11" s="33"/>
      <c r="S11" s="33"/>
      <c r="T11" s="37"/>
      <c r="U11" s="26">
        <f t="shared" si="1"/>
        <v>2440</v>
      </c>
    </row>
    <row r="12">
      <c r="A12" s="28" t="s">
        <v>46</v>
      </c>
      <c r="B12" s="33">
        <v>45.0</v>
      </c>
      <c r="C12" s="34">
        <v>35.0</v>
      </c>
      <c r="D12" s="33">
        <v>27.0</v>
      </c>
      <c r="E12" s="34">
        <v>22.0</v>
      </c>
      <c r="F12" s="33">
        <v>56.0</v>
      </c>
      <c r="G12" s="34">
        <v>41.0</v>
      </c>
      <c r="H12" s="33">
        <v>48.0</v>
      </c>
      <c r="I12" s="34">
        <v>30.0</v>
      </c>
      <c r="J12" s="33">
        <v>66.0</v>
      </c>
      <c r="K12" s="34">
        <v>20.0</v>
      </c>
      <c r="L12" s="33">
        <v>59.0</v>
      </c>
      <c r="M12" s="34">
        <v>68.0</v>
      </c>
      <c r="N12" s="33">
        <v>77.0</v>
      </c>
      <c r="O12" s="34">
        <v>47.0</v>
      </c>
      <c r="P12" s="33">
        <v>86.0</v>
      </c>
      <c r="Q12" s="36">
        <v>60.0</v>
      </c>
      <c r="R12" s="33"/>
      <c r="S12" s="33"/>
      <c r="T12" s="37"/>
      <c r="U12" s="26">
        <f t="shared" si="1"/>
        <v>787</v>
      </c>
    </row>
    <row r="13">
      <c r="A13" s="28" t="s">
        <v>32</v>
      </c>
      <c r="B13" s="33">
        <v>6.0</v>
      </c>
      <c r="C13" s="34">
        <v>0.0</v>
      </c>
      <c r="D13" s="33">
        <v>2.0</v>
      </c>
      <c r="E13" s="34">
        <v>0.0</v>
      </c>
      <c r="F13" s="33">
        <v>13.0</v>
      </c>
      <c r="G13" s="34">
        <v>1.0</v>
      </c>
      <c r="H13" s="33">
        <v>22.0</v>
      </c>
      <c r="I13" s="34">
        <v>9.0</v>
      </c>
      <c r="J13" s="33">
        <v>15.0</v>
      </c>
      <c r="K13" s="34">
        <v>0.0</v>
      </c>
      <c r="L13" s="33">
        <v>27.0</v>
      </c>
      <c r="M13" s="34">
        <v>3.0</v>
      </c>
      <c r="N13" s="33">
        <v>10.0</v>
      </c>
      <c r="O13" s="34">
        <v>4.0</v>
      </c>
      <c r="P13" s="33">
        <v>19.0</v>
      </c>
      <c r="Q13" s="36">
        <v>22.0</v>
      </c>
      <c r="R13" s="33"/>
      <c r="S13" s="33"/>
      <c r="T13" s="37"/>
      <c r="U13" s="26">
        <f t="shared" si="1"/>
        <v>153</v>
      </c>
    </row>
    <row r="14">
      <c r="A14" s="28" t="s">
        <v>33</v>
      </c>
      <c r="B14" s="33">
        <v>0.0</v>
      </c>
      <c r="C14" s="34">
        <v>0.0</v>
      </c>
      <c r="D14" s="33">
        <v>0.0</v>
      </c>
      <c r="E14" s="34">
        <v>0.0</v>
      </c>
      <c r="F14" s="33">
        <v>5.0</v>
      </c>
      <c r="G14" s="34">
        <v>8.0</v>
      </c>
      <c r="H14" s="33">
        <v>1.0</v>
      </c>
      <c r="I14" s="34">
        <v>0.0</v>
      </c>
      <c r="J14" s="33">
        <v>38.0</v>
      </c>
      <c r="K14" s="34">
        <v>0.0</v>
      </c>
      <c r="L14" s="33">
        <v>8.0</v>
      </c>
      <c r="M14" s="34">
        <v>0.0</v>
      </c>
      <c r="N14" s="33">
        <v>59.0</v>
      </c>
      <c r="O14" s="34">
        <v>8.0</v>
      </c>
      <c r="P14" s="33">
        <v>78.0</v>
      </c>
      <c r="Q14" s="36">
        <v>170.0</v>
      </c>
      <c r="R14" s="33"/>
      <c r="S14" s="33"/>
      <c r="T14" s="37"/>
      <c r="U14" s="26">
        <f t="shared" si="1"/>
        <v>375</v>
      </c>
    </row>
    <row r="15">
      <c r="A15" s="28" t="s">
        <v>35</v>
      </c>
      <c r="B15" s="33">
        <v>0.0</v>
      </c>
      <c r="C15" s="34">
        <v>0.0</v>
      </c>
      <c r="D15" s="33">
        <v>3.0</v>
      </c>
      <c r="E15" s="34">
        <v>0.0</v>
      </c>
      <c r="F15" s="33">
        <v>2.0</v>
      </c>
      <c r="G15" s="34">
        <v>0.0</v>
      </c>
      <c r="H15" s="33">
        <v>35.0</v>
      </c>
      <c r="I15" s="34">
        <v>0.0</v>
      </c>
      <c r="J15" s="33">
        <v>41.0</v>
      </c>
      <c r="K15" s="34">
        <v>1.0</v>
      </c>
      <c r="L15" s="33">
        <v>49.0</v>
      </c>
      <c r="M15" s="34">
        <v>18.0</v>
      </c>
      <c r="N15" s="33">
        <v>4.0</v>
      </c>
      <c r="O15" s="34">
        <v>6.0</v>
      </c>
      <c r="P15" s="33">
        <v>8.0</v>
      </c>
      <c r="Q15" s="36">
        <v>56.0</v>
      </c>
      <c r="R15" s="33"/>
      <c r="S15" s="33"/>
      <c r="T15" s="37"/>
      <c r="U15" s="26">
        <f t="shared" si="1"/>
        <v>223</v>
      </c>
    </row>
    <row r="16">
      <c r="A16" s="28" t="s">
        <v>36</v>
      </c>
      <c r="B16" s="33">
        <v>161.0</v>
      </c>
      <c r="C16" s="34">
        <v>46.0</v>
      </c>
      <c r="D16" s="33">
        <v>95.0</v>
      </c>
      <c r="E16" s="34">
        <v>33.0</v>
      </c>
      <c r="F16" s="33">
        <v>214.0</v>
      </c>
      <c r="G16" s="34">
        <v>35.0</v>
      </c>
      <c r="H16" s="33">
        <v>79.0</v>
      </c>
      <c r="I16" s="34">
        <v>40.0</v>
      </c>
      <c r="J16" s="33">
        <v>183.0</v>
      </c>
      <c r="K16" s="34">
        <v>35.0</v>
      </c>
      <c r="L16" s="33">
        <v>195.0</v>
      </c>
      <c r="M16" s="34">
        <v>42.0</v>
      </c>
      <c r="N16" s="33">
        <v>259.0</v>
      </c>
      <c r="O16" s="34">
        <v>70.0</v>
      </c>
      <c r="P16" s="33">
        <v>267.0</v>
      </c>
      <c r="Q16" s="36">
        <v>236.0</v>
      </c>
      <c r="R16" s="33"/>
      <c r="S16" s="33"/>
      <c r="T16" s="37"/>
      <c r="U16" s="26">
        <f t="shared" si="1"/>
        <v>1990</v>
      </c>
    </row>
    <row r="17">
      <c r="A17" s="28" t="s">
        <v>38</v>
      </c>
      <c r="B17" s="33">
        <v>7.0</v>
      </c>
      <c r="C17" s="34">
        <v>7.0</v>
      </c>
      <c r="D17" s="33">
        <v>5.0</v>
      </c>
      <c r="E17" s="34">
        <v>8.0</v>
      </c>
      <c r="F17" s="33">
        <v>73.0</v>
      </c>
      <c r="G17" s="34">
        <v>5.0</v>
      </c>
      <c r="H17" s="33">
        <v>17.0</v>
      </c>
      <c r="I17" s="34">
        <v>6.0</v>
      </c>
      <c r="J17" s="33">
        <v>90.0</v>
      </c>
      <c r="K17" s="34">
        <v>4.0</v>
      </c>
      <c r="L17" s="33">
        <v>47.0</v>
      </c>
      <c r="M17" s="34">
        <v>12.0</v>
      </c>
      <c r="N17" s="33">
        <v>62.0</v>
      </c>
      <c r="O17" s="34">
        <v>16.0</v>
      </c>
      <c r="P17" s="33">
        <v>71.0</v>
      </c>
      <c r="Q17" s="36">
        <v>69.0</v>
      </c>
      <c r="R17" s="33"/>
      <c r="S17" s="33"/>
      <c r="T17" s="37"/>
      <c r="U17" s="26">
        <f t="shared" si="1"/>
        <v>499</v>
      </c>
    </row>
    <row r="18">
      <c r="A18" s="28" t="s">
        <v>39</v>
      </c>
      <c r="B18" s="33">
        <v>5.0</v>
      </c>
      <c r="C18" s="34">
        <v>0.0</v>
      </c>
      <c r="D18" s="33">
        <v>0.0</v>
      </c>
      <c r="E18" s="34">
        <v>0.0</v>
      </c>
      <c r="F18" s="33">
        <v>2.0</v>
      </c>
      <c r="G18" s="34">
        <v>0.0</v>
      </c>
      <c r="H18" s="33">
        <v>2.0</v>
      </c>
      <c r="I18" s="34">
        <v>0.0</v>
      </c>
      <c r="J18" s="33">
        <v>2.0</v>
      </c>
      <c r="K18" s="34">
        <v>0.0</v>
      </c>
      <c r="L18" s="33">
        <v>15.0</v>
      </c>
      <c r="M18" s="34">
        <v>0.0</v>
      </c>
      <c r="N18" s="33">
        <v>2.0</v>
      </c>
      <c r="O18" s="34">
        <v>0.0</v>
      </c>
      <c r="P18" s="33">
        <v>5.0</v>
      </c>
      <c r="Q18" s="36">
        <v>3.0</v>
      </c>
      <c r="R18" s="33"/>
      <c r="S18" s="33"/>
      <c r="T18" s="37"/>
      <c r="U18" s="26">
        <f t="shared" si="1"/>
        <v>36</v>
      </c>
    </row>
    <row r="19">
      <c r="A19" s="28" t="s">
        <v>40</v>
      </c>
      <c r="B19" s="33">
        <v>0.0</v>
      </c>
      <c r="C19" s="34">
        <v>0.0</v>
      </c>
      <c r="D19" s="33">
        <v>0.0</v>
      </c>
      <c r="E19" s="34">
        <v>0.0</v>
      </c>
      <c r="F19" s="33">
        <v>0.0</v>
      </c>
      <c r="G19" s="34">
        <v>0.0</v>
      </c>
      <c r="H19" s="33">
        <v>0.0</v>
      </c>
      <c r="I19" s="34">
        <v>0.0</v>
      </c>
      <c r="J19" s="33">
        <v>43.0</v>
      </c>
      <c r="K19" s="34">
        <v>0.0</v>
      </c>
      <c r="L19" s="33">
        <v>12.0</v>
      </c>
      <c r="M19" s="34">
        <v>0.0</v>
      </c>
      <c r="N19" s="33">
        <v>2.0</v>
      </c>
      <c r="O19" s="34">
        <v>0.0</v>
      </c>
      <c r="P19" s="33">
        <v>8.0</v>
      </c>
      <c r="Q19" s="36">
        <v>0.0</v>
      </c>
      <c r="R19" s="33"/>
      <c r="S19" s="33"/>
      <c r="T19" s="37"/>
      <c r="U19" s="26">
        <f t="shared" si="1"/>
        <v>65</v>
      </c>
    </row>
    <row r="20">
      <c r="A20" s="28" t="s">
        <v>41</v>
      </c>
      <c r="B20" s="33">
        <v>36.0</v>
      </c>
      <c r="C20" s="34">
        <v>0.0</v>
      </c>
      <c r="D20" s="33">
        <v>19.0</v>
      </c>
      <c r="E20" s="34">
        <v>0.0</v>
      </c>
      <c r="F20" s="33">
        <v>59.0</v>
      </c>
      <c r="G20" s="34">
        <v>0.0</v>
      </c>
      <c r="H20" s="33">
        <v>36.0</v>
      </c>
      <c r="I20" s="34">
        <v>0.0</v>
      </c>
      <c r="J20" s="33">
        <v>91.0</v>
      </c>
      <c r="K20" s="34">
        <v>0.0</v>
      </c>
      <c r="L20" s="33">
        <v>48.0</v>
      </c>
      <c r="M20" s="34">
        <v>0.0</v>
      </c>
      <c r="N20" s="33">
        <v>42.0</v>
      </c>
      <c r="O20" s="34">
        <v>0.0</v>
      </c>
      <c r="P20" s="33">
        <v>63.0</v>
      </c>
      <c r="Q20" s="36">
        <v>54.0</v>
      </c>
      <c r="R20" s="33"/>
      <c r="S20" s="33"/>
      <c r="T20" s="37"/>
      <c r="U20" s="26">
        <f t="shared" si="1"/>
        <v>448</v>
      </c>
    </row>
    <row r="21" ht="15.75" customHeight="1">
      <c r="A21" s="28" t="s">
        <v>42</v>
      </c>
      <c r="B21" s="33">
        <v>10.0</v>
      </c>
      <c r="C21" s="34">
        <v>0.0</v>
      </c>
      <c r="D21" s="33">
        <v>2.0</v>
      </c>
      <c r="E21" s="34">
        <v>0.0</v>
      </c>
      <c r="F21" s="33">
        <v>1.0</v>
      </c>
      <c r="G21" s="34">
        <v>0.0</v>
      </c>
      <c r="H21" s="33">
        <v>4.0</v>
      </c>
      <c r="I21" s="34">
        <v>0.0</v>
      </c>
      <c r="J21" s="33">
        <v>0.0</v>
      </c>
      <c r="K21" s="34">
        <v>0.0</v>
      </c>
      <c r="L21" s="33">
        <v>0.0</v>
      </c>
      <c r="M21" s="34">
        <v>0.0</v>
      </c>
      <c r="N21" s="33">
        <v>0.0</v>
      </c>
      <c r="O21" s="34">
        <v>0.0</v>
      </c>
      <c r="P21" s="33">
        <v>1.0</v>
      </c>
      <c r="Q21" s="36">
        <v>0.0</v>
      </c>
      <c r="R21" s="33"/>
      <c r="S21" s="33"/>
      <c r="T21" s="37"/>
      <c r="U21" s="26">
        <f t="shared" si="1"/>
        <v>18</v>
      </c>
    </row>
    <row r="22" ht="15.75" customHeight="1">
      <c r="A22" s="28" t="s">
        <v>44</v>
      </c>
      <c r="B22" s="33">
        <v>6.0</v>
      </c>
      <c r="C22" s="34">
        <v>0.0</v>
      </c>
      <c r="D22" s="33">
        <v>0.0</v>
      </c>
      <c r="E22" s="34">
        <v>0.0</v>
      </c>
      <c r="F22" s="33">
        <v>3.0</v>
      </c>
      <c r="G22" s="34">
        <v>0.0</v>
      </c>
      <c r="H22" s="33">
        <v>10.0</v>
      </c>
      <c r="I22" s="34">
        <v>0.0</v>
      </c>
      <c r="J22" s="33">
        <v>65.0</v>
      </c>
      <c r="K22" s="34">
        <v>0.0</v>
      </c>
      <c r="L22" s="33">
        <v>36.0</v>
      </c>
      <c r="M22" s="34">
        <v>0.0</v>
      </c>
      <c r="N22" s="33">
        <v>2.0</v>
      </c>
      <c r="O22" s="34">
        <v>0.0</v>
      </c>
      <c r="P22" s="33">
        <v>1.0</v>
      </c>
      <c r="Q22" s="36">
        <v>0.0</v>
      </c>
      <c r="R22" s="33"/>
      <c r="S22" s="33"/>
      <c r="T22" s="37"/>
      <c r="U22" s="26">
        <f t="shared" si="1"/>
        <v>123</v>
      </c>
    </row>
    <row r="23" ht="15.75" customHeight="1">
      <c r="A23" s="28" t="s">
        <v>45</v>
      </c>
      <c r="B23" s="33">
        <v>0.0</v>
      </c>
      <c r="C23" s="34">
        <v>0.0</v>
      </c>
      <c r="D23" s="33">
        <v>0.0</v>
      </c>
      <c r="E23" s="34">
        <v>0.0</v>
      </c>
      <c r="F23" s="33">
        <v>0.0</v>
      </c>
      <c r="G23" s="34">
        <v>0.0</v>
      </c>
      <c r="H23" s="33">
        <v>0.0</v>
      </c>
      <c r="I23" s="34">
        <v>0.0</v>
      </c>
      <c r="J23" s="33">
        <v>0.0</v>
      </c>
      <c r="K23" s="34">
        <v>0.0</v>
      </c>
      <c r="L23" s="33">
        <v>84.0</v>
      </c>
      <c r="M23" s="34">
        <v>0.0</v>
      </c>
      <c r="N23" s="33">
        <v>0.0</v>
      </c>
      <c r="O23" s="34">
        <v>0.0</v>
      </c>
      <c r="P23" s="33">
        <v>0.0</v>
      </c>
      <c r="Q23" s="36">
        <v>0.0</v>
      </c>
      <c r="R23" s="33"/>
      <c r="S23" s="33"/>
      <c r="T23" s="37"/>
      <c r="U23" s="26">
        <f t="shared" si="1"/>
        <v>84</v>
      </c>
    </row>
    <row r="24" ht="15.75" customHeight="1">
      <c r="A24" s="28" t="s">
        <v>47</v>
      </c>
      <c r="B24" s="33">
        <v>0.0</v>
      </c>
      <c r="C24" s="34">
        <v>0.0</v>
      </c>
      <c r="D24" s="33">
        <v>0.0</v>
      </c>
      <c r="E24" s="34">
        <v>0.0</v>
      </c>
      <c r="F24" s="33">
        <v>0.0</v>
      </c>
      <c r="G24" s="34">
        <v>0.0</v>
      </c>
      <c r="H24" s="33">
        <v>1.0</v>
      </c>
      <c r="I24" s="34">
        <v>0.0</v>
      </c>
      <c r="J24" s="33">
        <v>1.0</v>
      </c>
      <c r="K24" s="34">
        <v>0.0</v>
      </c>
      <c r="L24" s="33">
        <v>4.0</v>
      </c>
      <c r="M24" s="34">
        <v>0.0</v>
      </c>
      <c r="N24" s="33">
        <v>0.0</v>
      </c>
      <c r="O24" s="34">
        <v>0.0</v>
      </c>
      <c r="P24" s="33">
        <v>3.0</v>
      </c>
      <c r="Q24" s="36">
        <v>0.0</v>
      </c>
      <c r="R24" s="33"/>
      <c r="S24" s="33"/>
      <c r="T24" s="37"/>
      <c r="U24" s="26">
        <f t="shared" si="1"/>
        <v>9</v>
      </c>
    </row>
    <row r="25" ht="15.75" customHeight="1">
      <c r="A25" s="28" t="s">
        <v>51</v>
      </c>
      <c r="B25" s="33">
        <v>0.0</v>
      </c>
      <c r="C25" s="34">
        <v>0.0</v>
      </c>
      <c r="D25" s="33">
        <v>0.0</v>
      </c>
      <c r="E25" s="34">
        <v>0.0</v>
      </c>
      <c r="F25" s="33">
        <v>0.0</v>
      </c>
      <c r="G25" s="34">
        <v>0.0</v>
      </c>
      <c r="H25" s="33">
        <v>0.0</v>
      </c>
      <c r="I25" s="34">
        <v>0.0</v>
      </c>
      <c r="J25" s="33">
        <v>0.0</v>
      </c>
      <c r="K25" s="34">
        <v>0.0</v>
      </c>
      <c r="L25" s="33">
        <v>0.0</v>
      </c>
      <c r="M25" s="34">
        <v>0.0</v>
      </c>
      <c r="N25" s="33">
        <v>0.0</v>
      </c>
      <c r="O25" s="34">
        <v>0.0</v>
      </c>
      <c r="P25" s="33">
        <v>0.0</v>
      </c>
      <c r="Q25" s="36">
        <v>0.0</v>
      </c>
      <c r="R25" s="33"/>
      <c r="S25" s="33"/>
      <c r="T25" s="37"/>
      <c r="U25" s="26">
        <f t="shared" si="1"/>
        <v>0</v>
      </c>
    </row>
    <row r="26" ht="15.75" customHeight="1">
      <c r="A26" s="41" t="s">
        <v>50</v>
      </c>
      <c r="B26" s="33">
        <f t="shared" ref="B26:T26" si="2">SUM(B7:B25)</f>
        <v>1853</v>
      </c>
      <c r="C26" s="33">
        <f t="shared" si="2"/>
        <v>304</v>
      </c>
      <c r="D26" s="33">
        <f t="shared" si="2"/>
        <v>2537</v>
      </c>
      <c r="E26" s="33">
        <f t="shared" si="2"/>
        <v>286</v>
      </c>
      <c r="F26" s="33">
        <f t="shared" si="2"/>
        <v>3162</v>
      </c>
      <c r="G26" s="33">
        <f t="shared" si="2"/>
        <v>260</v>
      </c>
      <c r="H26" s="33">
        <f t="shared" si="2"/>
        <v>1692</v>
      </c>
      <c r="I26" s="33">
        <f t="shared" si="2"/>
        <v>270</v>
      </c>
      <c r="J26" s="33">
        <f t="shared" si="2"/>
        <v>2633</v>
      </c>
      <c r="K26" s="33">
        <f t="shared" si="2"/>
        <v>218</v>
      </c>
      <c r="L26" s="33">
        <f t="shared" si="2"/>
        <v>2390</v>
      </c>
      <c r="M26" s="33">
        <f t="shared" si="2"/>
        <v>360</v>
      </c>
      <c r="N26" s="33">
        <f t="shared" si="2"/>
        <v>3063</v>
      </c>
      <c r="O26" s="33">
        <f t="shared" si="2"/>
        <v>385</v>
      </c>
      <c r="P26" s="33">
        <f t="shared" si="2"/>
        <v>2600</v>
      </c>
      <c r="Q26" s="33">
        <f t="shared" si="2"/>
        <v>2806</v>
      </c>
      <c r="R26" s="33">
        <f t="shared" si="2"/>
        <v>0</v>
      </c>
      <c r="S26" s="33">
        <f t="shared" si="2"/>
        <v>0</v>
      </c>
      <c r="T26" s="33">
        <f t="shared" si="2"/>
        <v>0</v>
      </c>
      <c r="U26" s="26">
        <f t="shared" si="1"/>
        <v>24819</v>
      </c>
    </row>
    <row r="27" ht="15.75" customHeight="1">
      <c r="A27" s="44" t="s">
        <v>52</v>
      </c>
      <c r="B27" s="45">
        <v>0.0</v>
      </c>
      <c r="C27" s="34"/>
      <c r="D27" s="45">
        <v>0.0</v>
      </c>
      <c r="E27" s="34"/>
      <c r="F27" s="45">
        <v>0.0</v>
      </c>
      <c r="G27" s="34"/>
      <c r="H27" s="45">
        <v>1.0</v>
      </c>
      <c r="I27" s="34"/>
      <c r="J27" s="45">
        <v>0.0</v>
      </c>
      <c r="K27" s="34"/>
      <c r="L27" s="45">
        <v>0.0</v>
      </c>
      <c r="M27" s="34"/>
      <c r="N27" s="45">
        <v>0.0</v>
      </c>
      <c r="O27" s="34"/>
      <c r="P27" s="45">
        <v>0.0</v>
      </c>
      <c r="Q27" s="45">
        <v>0.0</v>
      </c>
      <c r="R27" s="45"/>
      <c r="S27" s="45"/>
      <c r="T27" s="47"/>
      <c r="U27" s="26">
        <v>3.0</v>
      </c>
    </row>
    <row r="28" ht="15.75" customHeight="1">
      <c r="A28" s="44" t="s">
        <v>53</v>
      </c>
      <c r="B28" s="45">
        <v>0.0</v>
      </c>
      <c r="C28" s="34"/>
      <c r="D28" s="45">
        <v>0.0</v>
      </c>
      <c r="E28" s="34"/>
      <c r="F28" s="45">
        <v>0.0</v>
      </c>
      <c r="G28" s="34"/>
      <c r="H28" s="45">
        <v>1.0</v>
      </c>
      <c r="I28" s="34"/>
      <c r="J28" s="45">
        <v>1.0</v>
      </c>
      <c r="K28" s="34"/>
      <c r="L28" s="45">
        <v>0.0</v>
      </c>
      <c r="M28" s="34"/>
      <c r="N28" s="45">
        <v>0.0</v>
      </c>
      <c r="O28" s="34"/>
      <c r="P28" s="45">
        <v>0.0</v>
      </c>
      <c r="Q28" s="45">
        <v>0.0</v>
      </c>
      <c r="R28" s="45"/>
      <c r="S28" s="45"/>
      <c r="T28" s="47"/>
      <c r="U28" s="26">
        <v>2.0</v>
      </c>
    </row>
    <row r="29" ht="15.75" customHeight="1">
      <c r="A29" s="41" t="s">
        <v>54</v>
      </c>
      <c r="B29" s="36">
        <v>601.0</v>
      </c>
      <c r="C29" s="34"/>
      <c r="D29" s="36">
        <v>647.0</v>
      </c>
      <c r="E29" s="34"/>
      <c r="F29" s="36">
        <v>713.0</v>
      </c>
      <c r="G29" s="34"/>
      <c r="H29" s="36">
        <v>617.0</v>
      </c>
      <c r="I29" s="34"/>
      <c r="J29" s="36">
        <v>681.0</v>
      </c>
      <c r="K29" s="34"/>
      <c r="L29" s="36">
        <v>744.0</v>
      </c>
      <c r="M29" s="34"/>
      <c r="N29" s="36">
        <v>821.0</v>
      </c>
      <c r="O29" s="34"/>
      <c r="P29" s="33">
        <v>888.0</v>
      </c>
      <c r="Q29" s="36">
        <v>948.0</v>
      </c>
      <c r="R29" s="36"/>
      <c r="S29" s="36"/>
      <c r="T29" s="37"/>
      <c r="U29" s="26">
        <v>7179.0</v>
      </c>
    </row>
    <row r="30" ht="15.75" customHeight="1">
      <c r="A30" s="44" t="s">
        <v>57</v>
      </c>
      <c r="B30" s="45">
        <v>49.0</v>
      </c>
      <c r="C30" s="34"/>
      <c r="D30" s="45">
        <v>30.0</v>
      </c>
      <c r="E30" s="34"/>
      <c r="F30" s="45">
        <v>59.0</v>
      </c>
      <c r="G30" s="34"/>
      <c r="H30" s="45">
        <v>44.0</v>
      </c>
      <c r="I30" s="34"/>
      <c r="J30" s="45">
        <v>67.0</v>
      </c>
      <c r="K30" s="34"/>
      <c r="L30" s="45">
        <v>64.0</v>
      </c>
      <c r="M30" s="34"/>
      <c r="N30" s="45">
        <v>79.0</v>
      </c>
      <c r="O30" s="34"/>
      <c r="P30" s="45">
        <v>67.0</v>
      </c>
      <c r="Q30" s="45">
        <v>60.0</v>
      </c>
      <c r="R30" s="45"/>
      <c r="S30" s="45"/>
      <c r="T30" s="47"/>
      <c r="U30" s="26">
        <v>519.0</v>
      </c>
    </row>
    <row r="31" ht="15.75" customHeight="1">
      <c r="A31" s="44" t="s">
        <v>58</v>
      </c>
      <c r="B31" s="45">
        <v>3.0</v>
      </c>
      <c r="C31" s="34"/>
      <c r="D31" s="45">
        <v>1.0</v>
      </c>
      <c r="E31" s="34"/>
      <c r="F31" s="45">
        <v>3.0</v>
      </c>
      <c r="G31" s="34"/>
      <c r="H31" s="45">
        <v>1.0</v>
      </c>
      <c r="I31" s="34"/>
      <c r="J31" s="45">
        <v>3.0</v>
      </c>
      <c r="K31" s="34"/>
      <c r="L31" s="45">
        <v>1.0</v>
      </c>
      <c r="M31" s="34"/>
      <c r="N31" s="45">
        <v>2.0</v>
      </c>
      <c r="O31" s="34"/>
      <c r="P31" s="45">
        <v>0.0</v>
      </c>
      <c r="Q31" s="45"/>
      <c r="R31" s="45"/>
      <c r="S31" s="45"/>
      <c r="T31" s="47"/>
      <c r="U31" s="26">
        <v>14.0</v>
      </c>
    </row>
    <row r="32" ht="15.75" customHeight="1">
      <c r="A32" s="44" t="s">
        <v>59</v>
      </c>
      <c r="B32" s="45">
        <v>9.0</v>
      </c>
      <c r="C32" s="34"/>
      <c r="D32" s="45">
        <v>13.0</v>
      </c>
      <c r="E32" s="34"/>
      <c r="F32" s="45">
        <v>13.0</v>
      </c>
      <c r="G32" s="34"/>
      <c r="H32" s="45">
        <v>4.0</v>
      </c>
      <c r="I32" s="34"/>
      <c r="J32" s="45">
        <v>5.0</v>
      </c>
      <c r="K32" s="34"/>
      <c r="L32" s="45">
        <v>6.0</v>
      </c>
      <c r="M32" s="34"/>
      <c r="N32" s="45">
        <v>10.0</v>
      </c>
      <c r="O32" s="34"/>
      <c r="P32" s="45">
        <v>6.0</v>
      </c>
      <c r="Q32" s="45"/>
      <c r="R32" s="45"/>
      <c r="S32" s="45"/>
      <c r="T32" s="47"/>
      <c r="U32" s="26">
        <v>66.0</v>
      </c>
    </row>
    <row r="33" ht="15.75" customHeight="1">
      <c r="A33" s="60" t="s">
        <v>60</v>
      </c>
      <c r="B33" s="61">
        <v>6.0</v>
      </c>
      <c r="C33" s="34"/>
      <c r="D33" s="61">
        <v>4.0</v>
      </c>
      <c r="E33" s="34"/>
      <c r="F33" s="61">
        <v>5.0</v>
      </c>
      <c r="G33" s="34"/>
      <c r="H33" s="61">
        <v>4.0</v>
      </c>
      <c r="I33" s="34"/>
      <c r="J33" s="61">
        <v>6.0</v>
      </c>
      <c r="K33" s="34"/>
      <c r="L33" s="61">
        <v>8.0</v>
      </c>
      <c r="M33" s="34"/>
      <c r="N33" s="61">
        <v>5.0</v>
      </c>
      <c r="O33" s="34"/>
      <c r="P33" s="61">
        <v>7.0</v>
      </c>
      <c r="Q33" s="61"/>
      <c r="R33" s="61"/>
      <c r="S33" s="61"/>
      <c r="T33" s="64"/>
      <c r="U33" s="26">
        <v>45.0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U4"/>
    <mergeCell ref="A5:U5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0.71"/>
    <col customWidth="1" min="3" max="3" width="11.57"/>
    <col customWidth="1" min="4" max="5" width="10.14"/>
    <col customWidth="1" min="6" max="6" width="9.57"/>
    <col customWidth="1" min="7" max="7" width="10.86"/>
    <col customWidth="1" min="8" max="8" width="10.14"/>
    <col customWidth="1" min="9" max="10" width="11.14"/>
    <col customWidth="1" min="11" max="11" width="11.43"/>
    <col customWidth="1" min="12" max="12" width="10.86"/>
    <col customWidth="1" min="13" max="14" width="11.57"/>
  </cols>
  <sheetData>
    <row r="1" ht="41.2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  <c r="O1" s="6"/>
      <c r="P1" s="6"/>
      <c r="Q1" s="6"/>
      <c r="R1" s="6"/>
      <c r="S1" s="8"/>
      <c r="T1" s="8"/>
      <c r="U1" s="8"/>
      <c r="V1" s="8"/>
      <c r="W1" s="8"/>
      <c r="X1" s="8"/>
    </row>
    <row r="2" ht="27.75" customHeight="1">
      <c r="A2" s="9"/>
      <c r="N2" s="11"/>
      <c r="O2" s="6"/>
      <c r="P2" s="6"/>
      <c r="Q2" s="6"/>
      <c r="R2" s="6"/>
      <c r="S2" s="8"/>
      <c r="T2" s="8"/>
      <c r="U2" s="8"/>
      <c r="V2" s="8"/>
      <c r="W2" s="8"/>
      <c r="X2" s="8"/>
    </row>
    <row r="3" ht="25.5" customHeight="1">
      <c r="A3" s="9"/>
      <c r="N3" s="11"/>
      <c r="O3" s="6"/>
      <c r="P3" s="6"/>
      <c r="Q3" s="6"/>
      <c r="R3" s="6"/>
      <c r="S3" s="8"/>
      <c r="T3" s="8"/>
      <c r="U3" s="8"/>
      <c r="V3" s="8"/>
      <c r="W3" s="8"/>
      <c r="X3" s="8"/>
    </row>
    <row r="4" ht="25.5" customHeight="1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7"/>
      <c r="O4" s="6"/>
      <c r="P4" s="6"/>
      <c r="Q4" s="6"/>
      <c r="R4" s="6"/>
      <c r="S4" s="8"/>
      <c r="T4" s="8"/>
      <c r="U4" s="8"/>
      <c r="V4" s="8"/>
      <c r="W4" s="8"/>
      <c r="X4" s="8"/>
    </row>
    <row r="5" ht="14.25" customHeight="1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2"/>
      <c r="O5" s="24"/>
      <c r="P5" s="24"/>
      <c r="Q5" s="24"/>
      <c r="R5" s="24"/>
      <c r="S5" s="8"/>
      <c r="T5" s="8"/>
      <c r="U5" s="8"/>
      <c r="V5" s="8"/>
      <c r="W5" s="8"/>
      <c r="X5" s="8"/>
    </row>
    <row r="6">
      <c r="A6" s="26" t="s">
        <v>5</v>
      </c>
      <c r="B6" s="26" t="s">
        <v>6</v>
      </c>
      <c r="C6" s="26" t="s">
        <v>7</v>
      </c>
      <c r="D6" s="26" t="s">
        <v>8</v>
      </c>
      <c r="E6" s="26" t="s">
        <v>9</v>
      </c>
      <c r="F6" s="26" t="s">
        <v>11</v>
      </c>
      <c r="G6" s="26" t="s">
        <v>12</v>
      </c>
      <c r="H6" s="26" t="s">
        <v>14</v>
      </c>
      <c r="I6" s="26" t="s">
        <v>16</v>
      </c>
      <c r="J6" s="26" t="s">
        <v>17</v>
      </c>
      <c r="K6" s="26" t="s">
        <v>18</v>
      </c>
      <c r="L6" s="26" t="s">
        <v>21</v>
      </c>
      <c r="M6" s="26" t="s">
        <v>22</v>
      </c>
      <c r="N6" s="26" t="s">
        <v>24</v>
      </c>
    </row>
    <row r="7">
      <c r="A7" s="28" t="s">
        <v>26</v>
      </c>
      <c r="B7" s="29">
        <v>74.0</v>
      </c>
      <c r="C7" s="31">
        <v>165.0</v>
      </c>
      <c r="D7" s="31">
        <v>321.0</v>
      </c>
      <c r="E7" s="31">
        <v>289.0</v>
      </c>
      <c r="F7" s="33">
        <v>471.0</v>
      </c>
      <c r="G7" s="33">
        <v>354.0</v>
      </c>
      <c r="H7" s="33">
        <v>401.0</v>
      </c>
      <c r="I7" s="33">
        <v>372.0</v>
      </c>
      <c r="J7" s="33">
        <v>179.0</v>
      </c>
      <c r="K7" s="33"/>
      <c r="L7" s="33"/>
      <c r="M7" s="37"/>
      <c r="N7" s="26">
        <f t="shared" ref="N7:N23" si="1">SUM(B7:M7)</f>
        <v>2626</v>
      </c>
    </row>
    <row r="8">
      <c r="A8" s="28" t="s">
        <v>30</v>
      </c>
      <c r="B8" s="40">
        <v>4.0</v>
      </c>
      <c r="C8" s="31">
        <v>3.0</v>
      </c>
      <c r="D8" s="31">
        <v>11.0</v>
      </c>
      <c r="E8" s="31">
        <v>26.0</v>
      </c>
      <c r="F8" s="33">
        <v>38.0</v>
      </c>
      <c r="G8" s="33">
        <v>0.0</v>
      </c>
      <c r="H8" s="33">
        <v>9.0</v>
      </c>
      <c r="I8" s="33">
        <v>13.0</v>
      </c>
      <c r="J8" s="33">
        <v>3.0</v>
      </c>
      <c r="K8" s="33"/>
      <c r="L8" s="33"/>
      <c r="M8" s="37"/>
      <c r="N8" s="26">
        <f t="shared" si="1"/>
        <v>107</v>
      </c>
    </row>
    <row r="9">
      <c r="A9" s="28" t="s">
        <v>32</v>
      </c>
      <c r="B9" s="40">
        <v>0.0</v>
      </c>
      <c r="C9" s="33">
        <v>0.0</v>
      </c>
      <c r="D9" s="31">
        <v>0.0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/>
      <c r="L9" s="33"/>
      <c r="M9" s="37"/>
      <c r="N9" s="26">
        <f t="shared" si="1"/>
        <v>0</v>
      </c>
    </row>
    <row r="10">
      <c r="A10" s="28" t="s">
        <v>33</v>
      </c>
      <c r="B10" s="40">
        <v>0.0</v>
      </c>
      <c r="C10" s="31">
        <v>0.0</v>
      </c>
      <c r="D10" s="33">
        <v>0.0</v>
      </c>
      <c r="E10" s="31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  <c r="K10" s="33"/>
      <c r="L10" s="33"/>
      <c r="M10" s="37"/>
      <c r="N10" s="26">
        <f t="shared" si="1"/>
        <v>0</v>
      </c>
    </row>
    <row r="11">
      <c r="A11" s="28" t="s">
        <v>35</v>
      </c>
      <c r="B11" s="40">
        <v>0.0</v>
      </c>
      <c r="C11" s="31">
        <v>0.0</v>
      </c>
      <c r="D11" s="33">
        <v>0.0</v>
      </c>
      <c r="E11" s="33">
        <v>0.0</v>
      </c>
      <c r="F11" s="33">
        <v>0.0</v>
      </c>
      <c r="G11" s="33">
        <v>6.0</v>
      </c>
      <c r="H11" s="33">
        <v>0.0</v>
      </c>
      <c r="I11" s="33">
        <v>0.0</v>
      </c>
      <c r="J11" s="33">
        <v>4.0</v>
      </c>
      <c r="K11" s="33"/>
      <c r="L11" s="33"/>
      <c r="M11" s="37"/>
      <c r="N11" s="26">
        <f t="shared" si="1"/>
        <v>10</v>
      </c>
    </row>
    <row r="12">
      <c r="A12" s="28" t="s">
        <v>36</v>
      </c>
      <c r="B12" s="40">
        <v>0.0</v>
      </c>
      <c r="C12" s="31">
        <v>4.0</v>
      </c>
      <c r="D12" s="31">
        <v>3.0</v>
      </c>
      <c r="E12" s="31">
        <v>5.0</v>
      </c>
      <c r="F12" s="33">
        <v>2.0</v>
      </c>
      <c r="G12" s="33">
        <v>4.0</v>
      </c>
      <c r="H12" s="33">
        <v>5.0</v>
      </c>
      <c r="I12" s="33">
        <v>1.0</v>
      </c>
      <c r="J12" s="33">
        <v>0.0</v>
      </c>
      <c r="K12" s="33"/>
      <c r="L12" s="33"/>
      <c r="M12" s="37"/>
      <c r="N12" s="26">
        <f t="shared" si="1"/>
        <v>24</v>
      </c>
    </row>
    <row r="13">
      <c r="A13" s="28" t="s">
        <v>38</v>
      </c>
      <c r="B13" s="40">
        <v>0.0</v>
      </c>
      <c r="C13" s="33">
        <v>1.0</v>
      </c>
      <c r="D13" s="31">
        <v>0.0</v>
      </c>
      <c r="E13" s="31">
        <v>0.0</v>
      </c>
      <c r="F13" s="33">
        <v>1.0</v>
      </c>
      <c r="G13" s="33">
        <v>0.0</v>
      </c>
      <c r="H13" s="33">
        <v>0.0</v>
      </c>
      <c r="I13" s="33">
        <v>0.0</v>
      </c>
      <c r="J13" s="33">
        <v>0.0</v>
      </c>
      <c r="K13" s="33"/>
      <c r="L13" s="33"/>
      <c r="M13" s="37"/>
      <c r="N13" s="26">
        <f t="shared" si="1"/>
        <v>2</v>
      </c>
    </row>
    <row r="14">
      <c r="A14" s="28" t="s">
        <v>39</v>
      </c>
      <c r="B14" s="40">
        <v>0.0</v>
      </c>
      <c r="C14" s="31">
        <v>0.0</v>
      </c>
      <c r="D14" s="31">
        <v>0.0</v>
      </c>
      <c r="E14" s="31">
        <v>0.0</v>
      </c>
      <c r="F14" s="33">
        <v>0.0</v>
      </c>
      <c r="G14" s="33">
        <v>0.0</v>
      </c>
      <c r="H14" s="33">
        <v>0.0</v>
      </c>
      <c r="I14" s="33">
        <v>0.0</v>
      </c>
      <c r="J14" s="33">
        <v>0.0</v>
      </c>
      <c r="K14" s="33"/>
      <c r="L14" s="33"/>
      <c r="M14" s="37"/>
      <c r="N14" s="26">
        <f t="shared" si="1"/>
        <v>0</v>
      </c>
    </row>
    <row r="15">
      <c r="A15" s="28" t="s">
        <v>40</v>
      </c>
      <c r="B15" s="40">
        <v>0.0</v>
      </c>
      <c r="C15" s="31">
        <v>0.0</v>
      </c>
      <c r="D15" s="33">
        <v>0.0</v>
      </c>
      <c r="E15" s="31">
        <v>0.0</v>
      </c>
      <c r="F15" s="33">
        <v>0.0</v>
      </c>
      <c r="G15" s="33">
        <v>0.0</v>
      </c>
      <c r="H15" s="33">
        <v>0.0</v>
      </c>
      <c r="I15" s="33">
        <v>0.0</v>
      </c>
      <c r="J15" s="33">
        <v>0.0</v>
      </c>
      <c r="K15" s="33"/>
      <c r="L15" s="33"/>
      <c r="M15" s="37"/>
      <c r="N15" s="26">
        <f t="shared" si="1"/>
        <v>0</v>
      </c>
    </row>
    <row r="16">
      <c r="A16" s="28" t="s">
        <v>41</v>
      </c>
      <c r="B16" s="40">
        <v>0.0</v>
      </c>
      <c r="C16" s="31">
        <v>0.0</v>
      </c>
      <c r="D16" s="31">
        <v>0.0</v>
      </c>
      <c r="E16" s="31">
        <v>0.0</v>
      </c>
      <c r="F16" s="33">
        <v>0.0</v>
      </c>
      <c r="G16" s="33">
        <v>0.0</v>
      </c>
      <c r="H16" s="33">
        <v>0.0</v>
      </c>
      <c r="I16" s="33">
        <v>0.0</v>
      </c>
      <c r="J16" s="33">
        <v>0.0</v>
      </c>
      <c r="K16" s="33"/>
      <c r="L16" s="33"/>
      <c r="M16" s="37"/>
      <c r="N16" s="26">
        <f t="shared" si="1"/>
        <v>0</v>
      </c>
    </row>
    <row r="17">
      <c r="A17" s="28" t="s">
        <v>42</v>
      </c>
      <c r="B17" s="40">
        <v>0.0</v>
      </c>
      <c r="C17" s="33">
        <v>0.0</v>
      </c>
      <c r="D17" s="33">
        <v>0.0</v>
      </c>
      <c r="E17" s="33">
        <v>0.0</v>
      </c>
      <c r="F17" s="33">
        <v>0.0</v>
      </c>
      <c r="G17" s="33">
        <v>0.0</v>
      </c>
      <c r="H17" s="33">
        <v>0.0</v>
      </c>
      <c r="I17" s="33">
        <v>0.0</v>
      </c>
      <c r="J17" s="33">
        <v>0.0</v>
      </c>
      <c r="K17" s="33"/>
      <c r="L17" s="33"/>
      <c r="M17" s="37"/>
      <c r="N17" s="26">
        <f t="shared" si="1"/>
        <v>0</v>
      </c>
    </row>
    <row r="18">
      <c r="A18" s="28" t="s">
        <v>44</v>
      </c>
      <c r="B18" s="40">
        <v>0.0</v>
      </c>
      <c r="C18" s="33">
        <v>0.0</v>
      </c>
      <c r="D18" s="33">
        <v>0.0</v>
      </c>
      <c r="E18" s="33">
        <v>0.0</v>
      </c>
      <c r="F18" s="33">
        <v>0.0</v>
      </c>
      <c r="G18" s="33">
        <v>0.0</v>
      </c>
      <c r="H18" s="33">
        <v>0.0</v>
      </c>
      <c r="I18" s="33">
        <v>0.0</v>
      </c>
      <c r="J18" s="33">
        <v>0.0</v>
      </c>
      <c r="K18" s="33"/>
      <c r="L18" s="33"/>
      <c r="M18" s="37"/>
      <c r="N18" s="26">
        <f t="shared" si="1"/>
        <v>0</v>
      </c>
    </row>
    <row r="19">
      <c r="A19" s="44" t="s">
        <v>45</v>
      </c>
      <c r="B19" s="52">
        <v>0.0</v>
      </c>
      <c r="C19" s="45">
        <v>0.0</v>
      </c>
      <c r="D19" s="45">
        <v>0.0</v>
      </c>
      <c r="E19" s="45">
        <v>0.0</v>
      </c>
      <c r="F19" s="45">
        <v>0.0</v>
      </c>
      <c r="G19" s="45">
        <v>0.0</v>
      </c>
      <c r="H19" s="45">
        <v>0.0</v>
      </c>
      <c r="I19" s="45">
        <v>0.0</v>
      </c>
      <c r="J19" s="45">
        <v>0.0</v>
      </c>
      <c r="K19" s="45"/>
      <c r="L19" s="45"/>
      <c r="M19" s="47"/>
      <c r="N19" s="26">
        <f t="shared" si="1"/>
        <v>0</v>
      </c>
    </row>
    <row r="20">
      <c r="A20" s="44" t="s">
        <v>47</v>
      </c>
      <c r="B20" s="52">
        <v>0.0</v>
      </c>
      <c r="C20" s="45">
        <v>0.0</v>
      </c>
      <c r="D20" s="45">
        <v>0.0</v>
      </c>
      <c r="E20" s="45">
        <v>0.0</v>
      </c>
      <c r="F20" s="45">
        <v>0.0</v>
      </c>
      <c r="G20" s="45">
        <v>0.0</v>
      </c>
      <c r="H20" s="45">
        <v>0.0</v>
      </c>
      <c r="I20" s="45">
        <v>0.0</v>
      </c>
      <c r="J20" s="45">
        <v>0.0</v>
      </c>
      <c r="K20" s="45"/>
      <c r="L20" s="45"/>
      <c r="M20" s="47"/>
      <c r="N20" s="26">
        <f t="shared" si="1"/>
        <v>0</v>
      </c>
    </row>
    <row r="21" ht="15.75" customHeight="1">
      <c r="A21" s="44" t="s">
        <v>48</v>
      </c>
      <c r="B21" s="52">
        <v>0.0</v>
      </c>
      <c r="C21" s="45">
        <v>0.0</v>
      </c>
      <c r="D21" s="45">
        <v>0.0</v>
      </c>
      <c r="E21" s="45">
        <v>0.0</v>
      </c>
      <c r="F21" s="45">
        <v>0.0</v>
      </c>
      <c r="G21" s="45">
        <v>0.0</v>
      </c>
      <c r="H21" s="45">
        <v>0.0</v>
      </c>
      <c r="I21" s="45">
        <v>0.0</v>
      </c>
      <c r="J21" s="45">
        <v>0.0</v>
      </c>
      <c r="K21" s="45"/>
      <c r="L21" s="45"/>
      <c r="M21" s="47"/>
      <c r="N21" s="26">
        <f t="shared" si="1"/>
        <v>0</v>
      </c>
    </row>
    <row r="22" ht="15.75" customHeight="1">
      <c r="A22" s="44" t="s">
        <v>49</v>
      </c>
      <c r="B22" s="52">
        <v>0.0</v>
      </c>
      <c r="C22" s="45">
        <v>0.0</v>
      </c>
      <c r="D22" s="45">
        <v>0.0</v>
      </c>
      <c r="E22" s="45">
        <v>0.0</v>
      </c>
      <c r="F22" s="45">
        <v>0.0</v>
      </c>
      <c r="G22" s="45">
        <v>0.0</v>
      </c>
      <c r="H22" s="45">
        <v>0.0</v>
      </c>
      <c r="I22" s="45">
        <v>0.0</v>
      </c>
      <c r="J22" s="45">
        <v>0.0</v>
      </c>
      <c r="K22" s="45"/>
      <c r="L22" s="45"/>
      <c r="M22" s="47"/>
      <c r="N22" s="26">
        <f t="shared" si="1"/>
        <v>0</v>
      </c>
    </row>
    <row r="23" ht="15.75" customHeight="1">
      <c r="A23" s="54" t="s">
        <v>50</v>
      </c>
      <c r="B23" s="55">
        <f t="shared" ref="B23:M23" si="2">SUM(B7:B22)</f>
        <v>78</v>
      </c>
      <c r="C23" s="55">
        <f t="shared" si="2"/>
        <v>173</v>
      </c>
      <c r="D23" s="55">
        <f t="shared" si="2"/>
        <v>335</v>
      </c>
      <c r="E23" s="55">
        <f t="shared" si="2"/>
        <v>320</v>
      </c>
      <c r="F23" s="55">
        <f t="shared" si="2"/>
        <v>512</v>
      </c>
      <c r="G23" s="55">
        <f t="shared" si="2"/>
        <v>364</v>
      </c>
      <c r="H23" s="55">
        <f t="shared" si="2"/>
        <v>415</v>
      </c>
      <c r="I23" s="55">
        <f t="shared" si="2"/>
        <v>386</v>
      </c>
      <c r="J23" s="55">
        <f t="shared" si="2"/>
        <v>186</v>
      </c>
      <c r="K23" s="55">
        <f t="shared" si="2"/>
        <v>0</v>
      </c>
      <c r="L23" s="55">
        <f t="shared" si="2"/>
        <v>0</v>
      </c>
      <c r="M23" s="55">
        <f t="shared" si="2"/>
        <v>0</v>
      </c>
      <c r="N23" s="26">
        <f t="shared" si="1"/>
        <v>2769</v>
      </c>
    </row>
    <row r="24" ht="15.75" customHeight="1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4"/>
    <mergeCell ref="A5:N5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11.29"/>
    <col customWidth="1" min="3" max="3" width="12.0"/>
    <col customWidth="1" min="4" max="4" width="11.86"/>
    <col customWidth="1" min="5" max="5" width="9.86"/>
    <col customWidth="1" min="6" max="6" width="11.29"/>
    <col customWidth="1" min="7" max="7" width="10.29"/>
    <col customWidth="1" min="8" max="8" width="9.29"/>
    <col customWidth="1" min="9" max="9" width="10.57"/>
    <col customWidth="1" min="10" max="10" width="11.0"/>
    <col customWidth="1" min="11" max="11" width="11.43"/>
    <col customWidth="1" min="12" max="12" width="12.43"/>
    <col customWidth="1" min="13" max="13" width="12.71"/>
    <col customWidth="1" min="14" max="14" width="10.71"/>
  </cols>
  <sheetData>
    <row r="1" ht="41.25" customHeight="1">
      <c r="A1" s="67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5"/>
      <c r="O1" s="6"/>
      <c r="P1" s="6"/>
      <c r="Q1" s="6"/>
      <c r="R1" s="6"/>
      <c r="S1" s="8"/>
      <c r="T1" s="8"/>
      <c r="U1" s="8"/>
      <c r="V1" s="8"/>
      <c r="W1" s="8"/>
      <c r="X1" s="8"/>
    </row>
    <row r="2" ht="27.75" customHeight="1">
      <c r="A2" s="9"/>
      <c r="N2" s="11"/>
      <c r="O2" s="6"/>
      <c r="P2" s="6"/>
      <c r="Q2" s="6"/>
      <c r="R2" s="6"/>
      <c r="S2" s="8"/>
      <c r="T2" s="8"/>
      <c r="U2" s="8"/>
      <c r="V2" s="8"/>
      <c r="W2" s="8"/>
      <c r="X2" s="8"/>
    </row>
    <row r="3" ht="25.5" customHeight="1">
      <c r="A3" s="9"/>
      <c r="N3" s="11"/>
      <c r="O3" s="6"/>
      <c r="P3" s="6"/>
      <c r="Q3" s="6"/>
      <c r="R3" s="6"/>
      <c r="S3" s="8"/>
      <c r="T3" s="8"/>
      <c r="U3" s="8"/>
      <c r="V3" s="8"/>
      <c r="W3" s="8"/>
      <c r="X3" s="8"/>
    </row>
    <row r="4" ht="26.25" customHeight="1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7"/>
      <c r="O4" s="6"/>
      <c r="P4" s="6"/>
      <c r="Q4" s="6"/>
      <c r="R4" s="6"/>
      <c r="S4" s="8"/>
      <c r="T4" s="8"/>
      <c r="U4" s="8"/>
      <c r="V4" s="8"/>
      <c r="W4" s="8"/>
      <c r="X4" s="8"/>
    </row>
    <row r="5" ht="21.0" customHeight="1">
      <c r="A5" s="68" t="s">
        <v>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70"/>
      <c r="O5" s="24"/>
      <c r="P5" s="24"/>
      <c r="Q5" s="24"/>
      <c r="R5" s="24"/>
      <c r="S5" s="8"/>
      <c r="T5" s="8"/>
      <c r="U5" s="8"/>
      <c r="V5" s="8"/>
      <c r="W5" s="8"/>
      <c r="X5" s="8"/>
    </row>
    <row r="6">
      <c r="A6" s="71" t="s">
        <v>5</v>
      </c>
      <c r="B6" s="72" t="s">
        <v>6</v>
      </c>
      <c r="C6" s="72" t="s">
        <v>7</v>
      </c>
      <c r="D6" s="72" t="s">
        <v>8</v>
      </c>
      <c r="E6" s="72" t="s">
        <v>9</v>
      </c>
      <c r="F6" s="72" t="s">
        <v>11</v>
      </c>
      <c r="G6" s="72" t="s">
        <v>12</v>
      </c>
      <c r="H6" s="72" t="s">
        <v>14</v>
      </c>
      <c r="I6" s="72" t="s">
        <v>16</v>
      </c>
      <c r="J6" s="72" t="s">
        <v>17</v>
      </c>
      <c r="K6" s="72" t="s">
        <v>18</v>
      </c>
      <c r="L6" s="72" t="s">
        <v>21</v>
      </c>
      <c r="M6" s="72" t="s">
        <v>22</v>
      </c>
      <c r="N6" s="72" t="s">
        <v>24</v>
      </c>
    </row>
    <row r="7">
      <c r="A7" s="73" t="s">
        <v>26</v>
      </c>
      <c r="B7" s="29">
        <v>0.0</v>
      </c>
      <c r="C7" s="29">
        <v>12.0</v>
      </c>
      <c r="D7" s="74">
        <v>0.0</v>
      </c>
      <c r="E7" s="74">
        <v>0.0</v>
      </c>
      <c r="F7" s="75">
        <v>0.0</v>
      </c>
      <c r="G7" s="75">
        <v>0.0</v>
      </c>
      <c r="H7" s="75">
        <v>0.0</v>
      </c>
      <c r="I7" s="75">
        <v>0.0</v>
      </c>
      <c r="J7" s="75">
        <v>0.0</v>
      </c>
      <c r="K7" s="75"/>
      <c r="L7" s="75"/>
      <c r="M7" s="76"/>
      <c r="N7" s="72">
        <f t="shared" ref="N7:N23" si="1">SUM(B7:M7)</f>
        <v>12</v>
      </c>
    </row>
    <row r="8">
      <c r="A8" s="73" t="s">
        <v>43</v>
      </c>
      <c r="B8" s="40">
        <v>0.0</v>
      </c>
      <c r="C8" s="40">
        <v>0.0</v>
      </c>
      <c r="D8" s="74">
        <v>0.0</v>
      </c>
      <c r="E8" s="74">
        <v>0.0</v>
      </c>
      <c r="F8" s="75">
        <v>0.0</v>
      </c>
      <c r="G8" s="75">
        <v>0.0</v>
      </c>
      <c r="H8" s="75">
        <v>0.0</v>
      </c>
      <c r="I8" s="75">
        <v>0.0</v>
      </c>
      <c r="J8" s="75">
        <v>0.0</v>
      </c>
      <c r="K8" s="75"/>
      <c r="L8" s="75"/>
      <c r="M8" s="76"/>
      <c r="N8" s="72">
        <f t="shared" si="1"/>
        <v>0</v>
      </c>
    </row>
    <row r="9">
      <c r="A9" s="73" t="s">
        <v>32</v>
      </c>
      <c r="B9" s="40">
        <v>0.0</v>
      </c>
      <c r="C9" s="29">
        <v>0.0</v>
      </c>
      <c r="D9" s="75">
        <v>0.0</v>
      </c>
      <c r="E9" s="74">
        <v>0.0</v>
      </c>
      <c r="F9" s="75">
        <v>0.0</v>
      </c>
      <c r="G9" s="75">
        <v>0.0</v>
      </c>
      <c r="H9" s="75">
        <v>0.0</v>
      </c>
      <c r="I9" s="75">
        <v>0.0</v>
      </c>
      <c r="J9" s="75">
        <v>0.0</v>
      </c>
      <c r="K9" s="75"/>
      <c r="L9" s="75"/>
      <c r="M9" s="76"/>
      <c r="N9" s="72">
        <f t="shared" si="1"/>
        <v>0</v>
      </c>
    </row>
    <row r="10">
      <c r="A10" s="73" t="s">
        <v>33</v>
      </c>
      <c r="B10" s="40">
        <v>0.0</v>
      </c>
      <c r="C10" s="29">
        <v>1.0</v>
      </c>
      <c r="D10" s="74">
        <v>0.0</v>
      </c>
      <c r="E10" s="74">
        <v>0.0</v>
      </c>
      <c r="F10" s="75">
        <v>0.0</v>
      </c>
      <c r="G10" s="75">
        <v>0.0</v>
      </c>
      <c r="H10" s="75">
        <v>0.0</v>
      </c>
      <c r="I10" s="75">
        <v>0.0</v>
      </c>
      <c r="J10" s="75">
        <v>0.0</v>
      </c>
      <c r="K10" s="75"/>
      <c r="L10" s="75"/>
      <c r="M10" s="76"/>
      <c r="N10" s="72">
        <f t="shared" si="1"/>
        <v>1</v>
      </c>
    </row>
    <row r="11">
      <c r="A11" s="73" t="s">
        <v>35</v>
      </c>
      <c r="B11" s="40">
        <v>0.0</v>
      </c>
      <c r="C11" s="29">
        <v>0.0</v>
      </c>
      <c r="D11" s="74">
        <v>0.0</v>
      </c>
      <c r="E11" s="74">
        <v>0.0</v>
      </c>
      <c r="F11" s="75">
        <v>0.0</v>
      </c>
      <c r="G11" s="75">
        <v>0.0</v>
      </c>
      <c r="H11" s="75">
        <v>0.0</v>
      </c>
      <c r="I11" s="75">
        <v>0.0</v>
      </c>
      <c r="J11" s="75">
        <v>0.0</v>
      </c>
      <c r="K11" s="75"/>
      <c r="L11" s="75"/>
      <c r="M11" s="76"/>
      <c r="N11" s="72">
        <f t="shared" si="1"/>
        <v>0</v>
      </c>
    </row>
    <row r="12">
      <c r="A12" s="73" t="s">
        <v>36</v>
      </c>
      <c r="B12" s="40">
        <v>0.0</v>
      </c>
      <c r="C12" s="29">
        <v>0.0</v>
      </c>
      <c r="D12" s="74">
        <v>0.0</v>
      </c>
      <c r="E12" s="74">
        <v>0.0</v>
      </c>
      <c r="F12" s="75">
        <v>0.0</v>
      </c>
      <c r="G12" s="75">
        <v>0.0</v>
      </c>
      <c r="H12" s="75">
        <v>0.0</v>
      </c>
      <c r="I12" s="75">
        <v>0.0</v>
      </c>
      <c r="J12" s="75">
        <v>0.0</v>
      </c>
      <c r="K12" s="75"/>
      <c r="L12" s="75"/>
      <c r="M12" s="76"/>
      <c r="N12" s="72">
        <f t="shared" si="1"/>
        <v>0</v>
      </c>
    </row>
    <row r="13">
      <c r="A13" s="73" t="s">
        <v>38</v>
      </c>
      <c r="B13" s="40">
        <v>0.0</v>
      </c>
      <c r="C13" s="29">
        <v>0.0</v>
      </c>
      <c r="D13" s="74">
        <v>0.0</v>
      </c>
      <c r="E13" s="74">
        <v>0.0</v>
      </c>
      <c r="F13" s="75">
        <v>0.0</v>
      </c>
      <c r="G13" s="75">
        <v>0.0</v>
      </c>
      <c r="H13" s="75">
        <v>0.0</v>
      </c>
      <c r="I13" s="75">
        <v>0.0</v>
      </c>
      <c r="J13" s="75">
        <v>0.0</v>
      </c>
      <c r="K13" s="75"/>
      <c r="L13" s="75"/>
      <c r="M13" s="76"/>
      <c r="N13" s="72">
        <f t="shared" si="1"/>
        <v>0</v>
      </c>
    </row>
    <row r="14">
      <c r="A14" s="73" t="s">
        <v>39</v>
      </c>
      <c r="B14" s="40">
        <v>0.0</v>
      </c>
      <c r="C14" s="29">
        <v>2.0</v>
      </c>
      <c r="D14" s="74">
        <v>0.0</v>
      </c>
      <c r="E14" s="74">
        <v>0.0</v>
      </c>
      <c r="F14" s="75">
        <v>0.0</v>
      </c>
      <c r="G14" s="75">
        <v>0.0</v>
      </c>
      <c r="H14" s="75">
        <v>0.0</v>
      </c>
      <c r="I14" s="75">
        <v>0.0</v>
      </c>
      <c r="J14" s="75">
        <v>0.0</v>
      </c>
      <c r="K14" s="75"/>
      <c r="L14" s="75"/>
      <c r="M14" s="76"/>
      <c r="N14" s="72">
        <f t="shared" si="1"/>
        <v>2</v>
      </c>
    </row>
    <row r="15">
      <c r="A15" s="73" t="s">
        <v>40</v>
      </c>
      <c r="B15" s="40">
        <v>0.0</v>
      </c>
      <c r="C15" s="29">
        <v>0.0</v>
      </c>
      <c r="D15" s="74">
        <v>0.0</v>
      </c>
      <c r="E15" s="74">
        <v>0.0</v>
      </c>
      <c r="F15" s="75">
        <v>0.0</v>
      </c>
      <c r="G15" s="75">
        <v>0.0</v>
      </c>
      <c r="H15" s="75">
        <v>0.0</v>
      </c>
      <c r="I15" s="75">
        <v>0.0</v>
      </c>
      <c r="J15" s="75">
        <v>0.0</v>
      </c>
      <c r="K15" s="75"/>
      <c r="L15" s="75"/>
      <c r="M15" s="76"/>
      <c r="N15" s="72">
        <f t="shared" si="1"/>
        <v>0</v>
      </c>
    </row>
    <row r="16">
      <c r="A16" s="73" t="s">
        <v>41</v>
      </c>
      <c r="B16" s="40">
        <v>0.0</v>
      </c>
      <c r="C16" s="29">
        <v>2.0</v>
      </c>
      <c r="D16" s="74">
        <v>0.0</v>
      </c>
      <c r="E16" s="74">
        <v>0.0</v>
      </c>
      <c r="F16" s="75">
        <v>0.0</v>
      </c>
      <c r="G16" s="75">
        <v>0.0</v>
      </c>
      <c r="H16" s="75">
        <v>0.0</v>
      </c>
      <c r="I16" s="75">
        <v>0.0</v>
      </c>
      <c r="J16" s="75">
        <v>0.0</v>
      </c>
      <c r="K16" s="75"/>
      <c r="L16" s="75"/>
      <c r="M16" s="76"/>
      <c r="N16" s="72">
        <f t="shared" si="1"/>
        <v>2</v>
      </c>
    </row>
    <row r="17">
      <c r="A17" s="73" t="s">
        <v>42</v>
      </c>
      <c r="B17" s="40">
        <v>0.0</v>
      </c>
      <c r="C17" s="40">
        <v>0.0</v>
      </c>
      <c r="D17" s="74">
        <v>0.0</v>
      </c>
      <c r="E17" s="74">
        <v>0.0</v>
      </c>
      <c r="F17" s="75">
        <v>0.0</v>
      </c>
      <c r="G17" s="75">
        <v>0.0</v>
      </c>
      <c r="H17" s="75">
        <v>0.0</v>
      </c>
      <c r="I17" s="75">
        <v>0.0</v>
      </c>
      <c r="J17" s="75">
        <v>0.0</v>
      </c>
      <c r="K17" s="75"/>
      <c r="L17" s="75"/>
      <c r="M17" s="76"/>
      <c r="N17" s="72">
        <f t="shared" si="1"/>
        <v>0</v>
      </c>
    </row>
    <row r="18">
      <c r="A18" s="73" t="s">
        <v>44</v>
      </c>
      <c r="B18" s="40">
        <v>0.0</v>
      </c>
      <c r="C18" s="29">
        <v>0.0</v>
      </c>
      <c r="D18" s="74">
        <v>0.0</v>
      </c>
      <c r="E18" s="74">
        <v>0.0</v>
      </c>
      <c r="F18" s="75">
        <v>0.0</v>
      </c>
      <c r="G18" s="75">
        <v>0.0</v>
      </c>
      <c r="H18" s="75">
        <v>0.0</v>
      </c>
      <c r="I18" s="75">
        <v>0.0</v>
      </c>
      <c r="J18" s="75">
        <v>0.0</v>
      </c>
      <c r="K18" s="75"/>
      <c r="L18" s="75"/>
      <c r="M18" s="76"/>
      <c r="N18" s="72">
        <f t="shared" si="1"/>
        <v>0</v>
      </c>
    </row>
    <row r="19">
      <c r="A19" s="77" t="s">
        <v>45</v>
      </c>
      <c r="B19" s="52">
        <v>0.0</v>
      </c>
      <c r="C19" s="78">
        <v>0.0</v>
      </c>
      <c r="D19" s="79">
        <v>0.0</v>
      </c>
      <c r="E19" s="79">
        <v>0.0</v>
      </c>
      <c r="F19" s="80">
        <v>0.0</v>
      </c>
      <c r="G19" s="80">
        <v>0.0</v>
      </c>
      <c r="H19" s="80">
        <v>0.0</v>
      </c>
      <c r="I19" s="80">
        <v>0.0</v>
      </c>
      <c r="J19" s="80">
        <v>0.0</v>
      </c>
      <c r="K19" s="80"/>
      <c r="L19" s="80"/>
      <c r="M19" s="81"/>
      <c r="N19" s="72">
        <f t="shared" si="1"/>
        <v>0</v>
      </c>
    </row>
    <row r="20">
      <c r="A20" s="77" t="s">
        <v>47</v>
      </c>
      <c r="B20" s="52">
        <v>0.0</v>
      </c>
      <c r="C20" s="52">
        <v>0.0</v>
      </c>
      <c r="D20" s="79">
        <v>0.0</v>
      </c>
      <c r="E20" s="79">
        <v>0.0</v>
      </c>
      <c r="F20" s="80">
        <v>0.0</v>
      </c>
      <c r="G20" s="80">
        <v>0.0</v>
      </c>
      <c r="H20" s="80">
        <v>0.0</v>
      </c>
      <c r="I20" s="80">
        <v>0.0</v>
      </c>
      <c r="J20" s="80">
        <v>0.0</v>
      </c>
      <c r="K20" s="80"/>
      <c r="L20" s="80"/>
      <c r="M20" s="81"/>
      <c r="N20" s="72">
        <f t="shared" si="1"/>
        <v>0</v>
      </c>
    </row>
    <row r="21" ht="15.75" customHeight="1">
      <c r="A21" s="77" t="s">
        <v>67</v>
      </c>
      <c r="B21" s="52">
        <v>0.0</v>
      </c>
      <c r="C21" s="52">
        <v>0.0</v>
      </c>
      <c r="D21" s="79">
        <v>0.0</v>
      </c>
      <c r="E21" s="79">
        <v>0.0</v>
      </c>
      <c r="F21" s="80">
        <v>0.0</v>
      </c>
      <c r="G21" s="80">
        <v>0.0</v>
      </c>
      <c r="H21" s="80">
        <v>0.0</v>
      </c>
      <c r="I21" s="80">
        <v>0.0</v>
      </c>
      <c r="J21" s="80">
        <v>0.0</v>
      </c>
      <c r="K21" s="80"/>
      <c r="L21" s="80"/>
      <c r="M21" s="81"/>
      <c r="N21" s="72">
        <f t="shared" si="1"/>
        <v>0</v>
      </c>
    </row>
    <row r="22" ht="15.75" customHeight="1">
      <c r="A22" s="82" t="s">
        <v>49</v>
      </c>
      <c r="B22" s="52">
        <v>0.0</v>
      </c>
      <c r="C22" s="83">
        <v>0.0</v>
      </c>
      <c r="D22" s="79">
        <v>0.0</v>
      </c>
      <c r="E22" s="79">
        <v>0.0</v>
      </c>
      <c r="F22" s="52">
        <v>0.0</v>
      </c>
      <c r="G22" s="52">
        <v>0.0</v>
      </c>
      <c r="H22" s="80">
        <v>0.0</v>
      </c>
      <c r="I22" s="80">
        <v>0.0</v>
      </c>
      <c r="J22" s="80">
        <v>0.0</v>
      </c>
      <c r="K22" s="52"/>
      <c r="L22" s="80"/>
      <c r="M22" s="81"/>
      <c r="N22" s="72">
        <f t="shared" si="1"/>
        <v>0</v>
      </c>
    </row>
    <row r="23" ht="15.75" customHeight="1">
      <c r="A23" s="84" t="s">
        <v>50</v>
      </c>
      <c r="B23" s="55">
        <f t="shared" ref="B23:M23" si="2">SUM(B7:B22)</f>
        <v>0</v>
      </c>
      <c r="C23" s="55">
        <f t="shared" si="2"/>
        <v>17</v>
      </c>
      <c r="D23" s="55">
        <f t="shared" si="2"/>
        <v>0</v>
      </c>
      <c r="E23" s="55">
        <f t="shared" si="2"/>
        <v>0</v>
      </c>
      <c r="F23" s="55">
        <f t="shared" si="2"/>
        <v>0</v>
      </c>
      <c r="G23" s="55">
        <f t="shared" si="2"/>
        <v>0</v>
      </c>
      <c r="H23" s="55">
        <f t="shared" si="2"/>
        <v>0</v>
      </c>
      <c r="I23" s="55">
        <f t="shared" si="2"/>
        <v>0</v>
      </c>
      <c r="J23" s="55">
        <f t="shared" si="2"/>
        <v>0</v>
      </c>
      <c r="K23" s="55">
        <f t="shared" si="2"/>
        <v>0</v>
      </c>
      <c r="L23" s="55">
        <f t="shared" si="2"/>
        <v>0</v>
      </c>
      <c r="M23" s="55">
        <f t="shared" si="2"/>
        <v>0</v>
      </c>
      <c r="N23" s="72">
        <f t="shared" si="1"/>
        <v>17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4"/>
    <mergeCell ref="A5:N5"/>
  </mergeCells>
  <printOptions/>
  <pageMargins bottom="0.787401575" footer="0.0" header="0.0" left="0.511811024" right="0.511811024" top="0.787401575"/>
  <pageSetup orientation="landscape"/>
  <drawing r:id="rId1"/>
</worksheet>
</file>